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pivotTables/pivotTable1.xml" ContentType="application/vnd.openxmlformats-officedocument.spreadsheetml.pivotTable+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5.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6.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7.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8.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09" codeName="{00000000-0000-0000-0000-000000000000}"/>
  <workbookPr codeName="ThisWorkbook" hidePivotFieldList="1"/>
  <mc:AlternateContent xmlns:mc="http://schemas.openxmlformats.org/markup-compatibility/2006">
    <mc:Choice Requires="x15">
      <x15ac:absPath xmlns:x15ac="http://schemas.microsoft.com/office/spreadsheetml/2010/11/ac" url="G:\QLD Reports\Group\Rockhampton Grammar School\202212 - Copy\"/>
    </mc:Choice>
  </mc:AlternateContent>
  <xr:revisionPtr revIDLastSave="4" documentId="13_ncr:1_{7D487C2C-99A5-4911-BE1D-6F69C438ECDA}" xr6:coauthVersionLast="47" xr6:coauthVersionMax="47" xr10:uidLastSave="{8B771B19-0EDA-4254-BB84-0AC6732CFE09}"/>
  <workbookProtection workbookAlgorithmName="SHA-512" workbookHashValue="k9UTLjNekccREBVZt40vFg18mBU+hKETk0oOl5WcBaeatJHDdN0Xa+IbhHdirt6c6J/9hlHMNM3j5OQzgcnWkw==" workbookSaltValue="0xeIVouV667lAfOeFtXhbQ==" workbookSpinCount="100000" lockStructure="1"/>
  <bookViews>
    <workbookView xWindow="-110" yWindow="-110" windowWidth="19420" windowHeight="10420" tabRatio="843" firstSheet="6" activeTab="5" xr2:uid="{00000000-000D-0000-FFFF-FFFF00000000}"/>
  </bookViews>
  <sheets>
    <sheet name="Cover" sheetId="15" r:id="rId1"/>
    <sheet name="Snapshot" sheetId="29" r:id="rId2"/>
    <sheet name="Calculations" sheetId="12" state="hidden" r:id="rId3"/>
    <sheet name="FYTD Tonnage vs Spend" sheetId="10" r:id="rId4"/>
    <sheet name="Waste Summary" sheetId="28" r:id="rId5"/>
    <sheet name="Monthly Transactions Summary" sheetId="26" r:id="rId6"/>
    <sheet name="Transaction Data" sheetId="17" r:id="rId7"/>
    <sheet name="Back Cover" sheetId="16" r:id="rId8"/>
    <sheet name="Waste Summary (2)" sheetId="30" state="hidden" r:id="rId9"/>
  </sheets>
  <externalReferences>
    <externalReference r:id="rId10"/>
    <externalReference r:id="rId11"/>
    <externalReference r:id="rId12"/>
  </externalReferences>
  <definedNames>
    <definedName name="_xlnm._FilterDatabase" localSheetId="6" hidden="1">'Transaction Data'!$A$3:$L$1800</definedName>
    <definedName name="Diversion" localSheetId="4">INDEX([1]Calculations!$C$145:$C$146,MATCH([1]Calculations!$G$141,[1]Calculations!$B$145:$B$146,0))</definedName>
    <definedName name="Diversion" localSheetId="8">INDEX([1]Calculations!$C$145:$C$146,MATCH([1]Calculations!$G$141,[1]Calculations!$B$145:$B$146,0))</definedName>
    <definedName name="Diversion">INDEX(Calculations!$C$139:$C$140,MATCH(Calculations!$G$135,Calculations!$B$139:$B$140,0))</definedName>
    <definedName name="Landfill" localSheetId="4">INDEX([1]Calculations!$C$145:$C$146,MATCH([1]Calculations!$H$141,[1]Calculations!$B$145:$B$146,0))</definedName>
    <definedName name="Landfill" localSheetId="8">INDEX([1]Calculations!$C$145:$C$146,MATCH([1]Calculations!$H$141,[1]Calculations!$B$145:$B$146,0))</definedName>
    <definedName name="Landfill">INDEX(Calculations!$C$139:$C$140,MATCH(Calculations!$H$135,Calculations!$B$139:$B$140,0))</definedName>
    <definedName name="_xlnm.Print_Area" localSheetId="7">'Back Cover'!$A:$A</definedName>
    <definedName name="_xlnm.Print_Area" localSheetId="0">Cover!$A$1:$A$53</definedName>
    <definedName name="_xlnm.Print_Area" localSheetId="3">'FYTD Tonnage vs Spend'!$A$1:$X$63</definedName>
    <definedName name="_xlnm.Print_Area" localSheetId="5">'Monthly Transactions Summary'!$A$1:$I$34</definedName>
    <definedName name="_xlnm.Print_Area" localSheetId="1">Snapshot!$A$1:$J$53</definedName>
    <definedName name="_xlnm.Print_Area" localSheetId="6">'Transaction Data'!$A$1:$L$1749</definedName>
    <definedName name="_xlnm.Print_Area" localSheetId="4">'Waste Summary'!$A$1:$O$57</definedName>
    <definedName name="_xlnm.Print_Titles" localSheetId="6">'Transaction Data'!$1:$3</definedName>
    <definedName name="SheetName">[2]Calculations!#REF!</definedName>
  </definedNames>
  <calcPr calcId="191028" calcOnSave="0"/>
  <pivotCaches>
    <pivotCache cacheId="6859"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28" l="1"/>
  <c r="A10" i="28"/>
  <c r="A11" i="28"/>
  <c r="A12" i="28"/>
  <c r="A13" i="28"/>
  <c r="A14" i="28"/>
  <c r="A15" i="28"/>
  <c r="A16" i="28"/>
  <c r="A17" i="28"/>
  <c r="A18" i="28"/>
  <c r="A19" i="28"/>
  <c r="A20" i="28"/>
  <c r="A21" i="28"/>
  <c r="A22" i="28"/>
  <c r="E35" i="30"/>
  <c r="E34" i="30"/>
  <c r="E33" i="30"/>
  <c r="E32" i="30"/>
  <c r="E31" i="30"/>
  <c r="E30" i="30"/>
  <c r="E29" i="30"/>
  <c r="E28" i="30"/>
  <c r="E27" i="30"/>
  <c r="E26" i="30"/>
  <c r="E25" i="30"/>
  <c r="E24" i="30"/>
  <c r="E23" i="30"/>
  <c r="E22" i="30"/>
  <c r="E21" i="30"/>
  <c r="E20" i="30"/>
  <c r="E19" i="30"/>
  <c r="E18" i="30"/>
  <c r="E17" i="30"/>
  <c r="A16" i="30"/>
  <c r="E16" i="30" s="1"/>
  <c r="A15" i="30"/>
  <c r="E15" i="30" s="1"/>
  <c r="A14" i="30"/>
  <c r="E14" i="30" s="1"/>
  <c r="A13" i="30"/>
  <c r="E13" i="30" s="1"/>
  <c r="A12" i="30"/>
  <c r="E12" i="30" s="1"/>
  <c r="A11" i="30"/>
  <c r="E11" i="30" s="1"/>
  <c r="A10" i="30"/>
  <c r="E10" i="30" s="1"/>
  <c r="A9" i="30"/>
  <c r="E9" i="30" s="1"/>
  <c r="A8" i="30"/>
  <c r="E8" i="30" s="1"/>
  <c r="L7" i="30"/>
  <c r="K7" i="30"/>
  <c r="J7" i="30"/>
  <c r="I7" i="30"/>
  <c r="K6" i="30"/>
  <c r="L6" i="30" s="1"/>
  <c r="J6" i="30"/>
  <c r="I6" i="30"/>
  <c r="C6" i="30"/>
  <c r="A56" i="10" l="1"/>
  <c r="A55" i="10"/>
  <c r="A54" i="10"/>
  <c r="A53" i="10"/>
  <c r="A52" i="10"/>
  <c r="A51" i="10"/>
  <c r="A50" i="10"/>
  <c r="A49" i="10"/>
  <c r="A48" i="10"/>
  <c r="A47" i="10"/>
  <c r="A46" i="10"/>
  <c r="A45" i="10"/>
  <c r="A44" i="10"/>
  <c r="A43" i="10"/>
  <c r="A42" i="10"/>
  <c r="A41" i="10"/>
  <c r="A40" i="10"/>
  <c r="A39" i="10"/>
  <c r="A38" i="10"/>
  <c r="A37" i="10"/>
  <c r="A36" i="10"/>
  <c r="B19" i="12" l="1"/>
  <c r="A8" i="28" l="1"/>
  <c r="I7" i="28"/>
  <c r="H7" i="28"/>
  <c r="G7" i="28"/>
  <c r="F7" i="28"/>
  <c r="I6" i="28"/>
  <c r="H6" i="28"/>
  <c r="F6" i="28"/>
  <c r="G6" i="28" s="1"/>
  <c r="C6" i="28"/>
  <c r="A2" i="26" l="1"/>
  <c r="A2" i="17" l="1"/>
  <c r="C34" i="30" l="1"/>
  <c r="B33" i="30"/>
  <c r="C30" i="30"/>
  <c r="B29" i="30"/>
  <c r="C26" i="30"/>
  <c r="B25" i="30"/>
  <c r="C22" i="30"/>
  <c r="B21" i="30"/>
  <c r="C18" i="30"/>
  <c r="B17" i="30"/>
  <c r="C14" i="30"/>
  <c r="C10" i="30"/>
  <c r="B24" i="30"/>
  <c r="B16" i="30"/>
  <c r="C35" i="30"/>
  <c r="B34" i="30"/>
  <c r="C31" i="30"/>
  <c r="B30" i="30"/>
  <c r="C27" i="30"/>
  <c r="B26" i="30"/>
  <c r="C23" i="30"/>
  <c r="B22" i="30"/>
  <c r="C19" i="30"/>
  <c r="B18" i="30"/>
  <c r="B14" i="30"/>
  <c r="B10" i="30"/>
  <c r="C33" i="30"/>
  <c r="C29" i="30"/>
  <c r="C25" i="30"/>
  <c r="B20" i="30"/>
  <c r="B12" i="30"/>
  <c r="B35" i="30"/>
  <c r="C32" i="30"/>
  <c r="B31" i="30"/>
  <c r="C28" i="30"/>
  <c r="B27" i="30"/>
  <c r="C24" i="30"/>
  <c r="B23" i="30"/>
  <c r="C20" i="30"/>
  <c r="B19" i="30"/>
  <c r="C16" i="30"/>
  <c r="C12" i="30"/>
  <c r="C8" i="30"/>
  <c r="B32" i="30"/>
  <c r="B28" i="30"/>
  <c r="C21" i="30"/>
  <c r="C17" i="30"/>
  <c r="B8" i="30"/>
  <c r="C15" i="30"/>
  <c r="B15" i="30"/>
  <c r="C9" i="30"/>
  <c r="C13" i="30"/>
  <c r="B13" i="30"/>
  <c r="C11" i="30"/>
  <c r="B9" i="30"/>
  <c r="B11" i="30"/>
  <c r="C35" i="28"/>
  <c r="B35" i="28"/>
  <c r="B33" i="28"/>
  <c r="B31" i="28"/>
  <c r="B29" i="28"/>
  <c r="B27" i="28"/>
  <c r="B25" i="28"/>
  <c r="B23" i="28"/>
  <c r="B21" i="28"/>
  <c r="B19" i="28"/>
  <c r="B17" i="28"/>
  <c r="C32" i="28"/>
  <c r="C30" i="28"/>
  <c r="C28" i="28"/>
  <c r="C26" i="28"/>
  <c r="C24" i="28"/>
  <c r="C22" i="28"/>
  <c r="C20" i="28"/>
  <c r="C18" i="28"/>
  <c r="C31" i="28"/>
  <c r="C25" i="28"/>
  <c r="C21" i="28"/>
  <c r="C17" i="28"/>
  <c r="C34" i="28"/>
  <c r="B34" i="28"/>
  <c r="B32" i="28"/>
  <c r="B30" i="28"/>
  <c r="B28" i="28"/>
  <c r="B26" i="28"/>
  <c r="B24" i="28"/>
  <c r="B22" i="28"/>
  <c r="B20" i="28"/>
  <c r="B18" i="28"/>
  <c r="C33" i="28"/>
  <c r="C29" i="28"/>
  <c r="C27" i="28"/>
  <c r="C23" i="28"/>
  <c r="C19" i="28"/>
  <c r="C9" i="28"/>
  <c r="C13" i="28"/>
  <c r="C8" i="28"/>
  <c r="C12" i="28"/>
  <c r="C16" i="28"/>
  <c r="C15" i="28"/>
  <c r="C14" i="28"/>
  <c r="B10" i="28"/>
  <c r="B14" i="28"/>
  <c r="B9" i="28"/>
  <c r="B13" i="28"/>
  <c r="B8" i="28"/>
  <c r="B12" i="28"/>
  <c r="B16" i="28"/>
  <c r="C11" i="28"/>
  <c r="C10" i="28"/>
  <c r="B11" i="28"/>
  <c r="B15" i="28"/>
  <c r="A35" i="10"/>
  <c r="B36" i="30" l="1"/>
  <c r="I11" i="30" s="1"/>
  <c r="C36" i="30"/>
  <c r="J21" i="30" s="1"/>
  <c r="B36" i="28"/>
  <c r="F10" i="28" s="1"/>
  <c r="C36" i="28"/>
  <c r="G14" i="28" s="1"/>
  <c r="C5" i="10"/>
  <c r="I10" i="30" l="1"/>
  <c r="J18" i="30"/>
  <c r="I17" i="30"/>
  <c r="I24" i="30"/>
  <c r="I16" i="30"/>
  <c r="I20" i="30"/>
  <c r="I14" i="30"/>
  <c r="I33" i="30"/>
  <c r="I30" i="30"/>
  <c r="I31" i="30"/>
  <c r="I13" i="30"/>
  <c r="I28" i="30"/>
  <c r="I25" i="30"/>
  <c r="I22" i="30"/>
  <c r="I23" i="30"/>
  <c r="I12" i="30"/>
  <c r="I9" i="30"/>
  <c r="I21" i="30"/>
  <c r="I27" i="30"/>
  <c r="J25" i="30"/>
  <c r="J15" i="30"/>
  <c r="J13" i="30"/>
  <c r="I19" i="30"/>
  <c r="J31" i="30"/>
  <c r="J34" i="30"/>
  <c r="J32" i="30"/>
  <c r="J26" i="30"/>
  <c r="J23" i="30"/>
  <c r="J16" i="30"/>
  <c r="I26" i="30"/>
  <c r="J24" i="30"/>
  <c r="J9" i="30"/>
  <c r="J35" i="30"/>
  <c r="J12" i="30"/>
  <c r="J14" i="30"/>
  <c r="J8" i="30"/>
  <c r="J33" i="30"/>
  <c r="J10" i="30"/>
  <c r="J30" i="30"/>
  <c r="J27" i="30"/>
  <c r="J28" i="30"/>
  <c r="J17" i="30"/>
  <c r="I29" i="30"/>
  <c r="I18" i="30"/>
  <c r="I32" i="30"/>
  <c r="J22" i="30"/>
  <c r="J19" i="30"/>
  <c r="J20" i="30"/>
  <c r="J29" i="30"/>
  <c r="J11" i="30"/>
  <c r="F8" i="28"/>
  <c r="I34" i="30"/>
  <c r="I35" i="30"/>
  <c r="I8" i="30"/>
  <c r="F33" i="28"/>
  <c r="I15" i="30"/>
  <c r="G31" i="28"/>
  <c r="F16" i="28"/>
  <c r="F11" i="28"/>
  <c r="F34" i="28"/>
  <c r="G8" i="28"/>
  <c r="G19" i="28"/>
  <c r="F22" i="28"/>
  <c r="G33" i="28"/>
  <c r="F26" i="28"/>
  <c r="F23" i="28"/>
  <c r="G10" i="28"/>
  <c r="G25" i="28"/>
  <c r="G16" i="28"/>
  <c r="F18" i="28"/>
  <c r="F25" i="28"/>
  <c r="F21" i="28"/>
  <c r="G30" i="28"/>
  <c r="F32" i="28"/>
  <c r="F35" i="28"/>
  <c r="F17" i="28"/>
  <c r="F30" i="28"/>
  <c r="G17" i="28"/>
  <c r="G32" i="28"/>
  <c r="G23" i="28"/>
  <c r="G15" i="28"/>
  <c r="G22" i="28"/>
  <c r="F24" i="28"/>
  <c r="F20" i="28"/>
  <c r="G20" i="28"/>
  <c r="F14" i="28"/>
  <c r="F13" i="28"/>
  <c r="G13" i="28"/>
  <c r="F15" i="28"/>
  <c r="G24" i="28"/>
  <c r="F12" i="28"/>
  <c r="F29" i="28"/>
  <c r="F9" i="28"/>
  <c r="G9" i="28"/>
  <c r="F31" i="28"/>
  <c r="F19" i="28"/>
  <c r="G27" i="28"/>
  <c r="F27" i="28"/>
  <c r="F28" i="28"/>
  <c r="G34" i="28"/>
  <c r="G18" i="28"/>
  <c r="G21" i="28"/>
  <c r="G35" i="28"/>
  <c r="G26" i="28"/>
  <c r="G12" i="28"/>
  <c r="G28" i="28"/>
  <c r="G29" i="28"/>
  <c r="G11" i="28"/>
  <c r="C6" i="10"/>
  <c r="C27" i="10"/>
  <c r="C23" i="10"/>
  <c r="C19" i="10"/>
  <c r="C15" i="10"/>
  <c r="C26" i="10"/>
  <c r="C24" i="10"/>
  <c r="C17" i="10"/>
  <c r="C21" i="10"/>
  <c r="C22" i="10"/>
  <c r="C25" i="10"/>
  <c r="C18" i="10"/>
  <c r="C16" i="10"/>
  <c r="C20" i="10"/>
  <c r="C13" i="10"/>
  <c r="C12" i="10"/>
  <c r="C11" i="10"/>
  <c r="C14" i="10"/>
  <c r="C10" i="10"/>
  <c r="C8" i="10"/>
  <c r="C9" i="10"/>
  <c r="C7" i="10"/>
  <c r="C34" i="10"/>
  <c r="Q36" i="10"/>
  <c r="Q6" i="10"/>
  <c r="C30" i="10" l="1"/>
  <c r="C29" i="10"/>
  <c r="C54" i="10"/>
  <c r="C47" i="10"/>
  <c r="C46" i="10"/>
  <c r="C43" i="10"/>
  <c r="C39" i="10"/>
  <c r="C38" i="10"/>
  <c r="C55" i="10"/>
  <c r="C51" i="10"/>
  <c r="C41" i="10"/>
  <c r="C49" i="10"/>
  <c r="C37" i="10"/>
  <c r="C50" i="10"/>
  <c r="C36" i="10"/>
  <c r="C44" i="10"/>
  <c r="C52" i="10"/>
  <c r="C48" i="10"/>
  <c r="C53" i="10"/>
  <c r="C42" i="10"/>
  <c r="C40" i="10"/>
  <c r="C45" i="10"/>
  <c r="C56" i="10"/>
  <c r="C35" i="10"/>
  <c r="C59" i="10" l="1"/>
  <c r="C58" i="10"/>
  <c r="A42" i="15"/>
  <c r="C57" i="10" l="1"/>
  <c r="E17" i="12"/>
  <c r="E18" i="12" s="1"/>
  <c r="E19" i="12" s="1"/>
  <c r="E20" i="12" l="1"/>
  <c r="E21" i="12" s="1"/>
  <c r="E22" i="12" s="1"/>
  <c r="E23" i="12" s="1"/>
  <c r="E24" i="12" s="1"/>
  <c r="E25" i="12" s="1"/>
  <c r="E26" i="12" s="1"/>
  <c r="E27" i="12" s="1"/>
  <c r="R36" i="10"/>
  <c r="T36" i="10" s="1"/>
  <c r="S36" i="10"/>
  <c r="F17" i="12" l="1"/>
  <c r="D5" i="10" s="1"/>
  <c r="D27" i="10" l="1"/>
  <c r="D26" i="10"/>
  <c r="D22" i="10"/>
  <c r="D18" i="10"/>
  <c r="D21" i="10"/>
  <c r="D19" i="10"/>
  <c r="D24" i="10"/>
  <c r="D25" i="10"/>
  <c r="D23" i="10"/>
  <c r="D16" i="10"/>
  <c r="D20" i="10"/>
  <c r="D17" i="10"/>
  <c r="D15" i="10"/>
  <c r="D11" i="10"/>
  <c r="D14" i="10"/>
  <c r="D10" i="10"/>
  <c r="D13" i="10"/>
  <c r="D12" i="10"/>
  <c r="D6" i="10"/>
  <c r="D9" i="10"/>
  <c r="D8" i="10"/>
  <c r="D7" i="10"/>
  <c r="Q7" i="10"/>
  <c r="Q37" i="10"/>
  <c r="D34" i="10"/>
  <c r="B5" i="10"/>
  <c r="F18" i="12"/>
  <c r="E5" i="10" s="1"/>
  <c r="B22" i="12"/>
  <c r="D30" i="10" l="1"/>
  <c r="D29" i="10"/>
  <c r="D43" i="10"/>
  <c r="D40" i="10"/>
  <c r="D56" i="10"/>
  <c r="D45" i="10"/>
  <c r="D39" i="10"/>
  <c r="D55" i="10"/>
  <c r="D51" i="10"/>
  <c r="D48" i="10"/>
  <c r="D53" i="10"/>
  <c r="D47" i="10"/>
  <c r="D36" i="10"/>
  <c r="D49" i="10"/>
  <c r="D38" i="10"/>
  <c r="D46" i="10"/>
  <c r="D54" i="10"/>
  <c r="D44" i="10"/>
  <c r="D42" i="10"/>
  <c r="D37" i="10"/>
  <c r="D41" i="10"/>
  <c r="D50" i="10"/>
  <c r="D52" i="10"/>
  <c r="B24" i="10"/>
  <c r="B20" i="10"/>
  <c r="B16" i="10"/>
  <c r="B22" i="10"/>
  <c r="B15" i="10"/>
  <c r="B18" i="10"/>
  <c r="B26" i="10"/>
  <c r="B19" i="10"/>
  <c r="B17" i="10"/>
  <c r="B25" i="10"/>
  <c r="B27" i="10"/>
  <c r="B23" i="10"/>
  <c r="B21" i="10"/>
  <c r="E26" i="10"/>
  <c r="E25" i="10"/>
  <c r="E21" i="10"/>
  <c r="E17" i="10"/>
  <c r="E23" i="10"/>
  <c r="E16" i="10"/>
  <c r="E19" i="10"/>
  <c r="E27" i="10"/>
  <c r="E20" i="10"/>
  <c r="E18" i="10"/>
  <c r="E24" i="10"/>
  <c r="E22" i="10"/>
  <c r="E15" i="10"/>
  <c r="B11" i="10"/>
  <c r="B14" i="10"/>
  <c r="B13" i="10"/>
  <c r="B12" i="10"/>
  <c r="B10" i="10"/>
  <c r="E12" i="10"/>
  <c r="E11" i="10"/>
  <c r="E14" i="10"/>
  <c r="E10" i="10"/>
  <c r="E13" i="10"/>
  <c r="E7" i="10"/>
  <c r="E9" i="10"/>
  <c r="E8" i="10"/>
  <c r="E6" i="10"/>
  <c r="B6" i="10"/>
  <c r="B8" i="10"/>
  <c r="B9" i="10"/>
  <c r="B7" i="10"/>
  <c r="Q8" i="10"/>
  <c r="Q38" i="10"/>
  <c r="E34" i="10"/>
  <c r="B34" i="10"/>
  <c r="D35" i="10"/>
  <c r="F19" i="12"/>
  <c r="F5" i="10" s="1"/>
  <c r="D28" i="10" l="1"/>
  <c r="E30" i="10"/>
  <c r="B30" i="10"/>
  <c r="D59" i="10"/>
  <c r="E29" i="10"/>
  <c r="B29" i="10"/>
  <c r="D58" i="10"/>
  <c r="F24" i="10"/>
  <c r="F20" i="10"/>
  <c r="F16" i="10"/>
  <c r="F27" i="10"/>
  <c r="F25" i="10"/>
  <c r="F18" i="10"/>
  <c r="F26" i="10"/>
  <c r="F22" i="10"/>
  <c r="F15" i="10"/>
  <c r="F21" i="10"/>
  <c r="F19" i="10"/>
  <c r="F17" i="10"/>
  <c r="F23" i="10"/>
  <c r="B55" i="10"/>
  <c r="B53" i="10"/>
  <c r="B51" i="10"/>
  <c r="B36" i="10"/>
  <c r="B47" i="10"/>
  <c r="B41" i="10"/>
  <c r="B43" i="10"/>
  <c r="B49" i="10"/>
  <c r="B45" i="10"/>
  <c r="B39" i="10"/>
  <c r="B37" i="10"/>
  <c r="B44" i="10"/>
  <c r="B38" i="10"/>
  <c r="B54" i="10"/>
  <c r="B46" i="10"/>
  <c r="B52" i="10"/>
  <c r="B56" i="10"/>
  <c r="B48" i="10"/>
  <c r="B42" i="10"/>
  <c r="B50" i="10"/>
  <c r="B40" i="10"/>
  <c r="E45" i="10"/>
  <c r="E41" i="10"/>
  <c r="E53" i="10"/>
  <c r="E49" i="10"/>
  <c r="E38" i="10"/>
  <c r="E46" i="10"/>
  <c r="E56" i="10"/>
  <c r="E43" i="10"/>
  <c r="E51" i="10"/>
  <c r="E39" i="10"/>
  <c r="E36" i="10"/>
  <c r="E40" i="10"/>
  <c r="E48" i="10"/>
  <c r="E42" i="10"/>
  <c r="E52" i="10"/>
  <c r="E47" i="10"/>
  <c r="E55" i="10"/>
  <c r="E54" i="10"/>
  <c r="E44" i="10"/>
  <c r="E50" i="10"/>
  <c r="E37" i="10"/>
  <c r="F11" i="10"/>
  <c r="F14" i="10"/>
  <c r="F10" i="10"/>
  <c r="F13" i="10"/>
  <c r="F12" i="10"/>
  <c r="F9" i="10"/>
  <c r="F7" i="10"/>
  <c r="F8" i="10"/>
  <c r="F6" i="10"/>
  <c r="B35" i="10"/>
  <c r="R7" i="10"/>
  <c r="E35" i="10"/>
  <c r="F34" i="10"/>
  <c r="Q9" i="10"/>
  <c r="Q39" i="10"/>
  <c r="F20" i="12"/>
  <c r="G5" i="10" s="1"/>
  <c r="B20" i="12"/>
  <c r="A2" i="28" l="1"/>
  <c r="A2" i="30"/>
  <c r="E28" i="10"/>
  <c r="S8" i="10" s="1"/>
  <c r="B28" i="10"/>
  <c r="F30" i="10"/>
  <c r="B59" i="10"/>
  <c r="E59" i="10"/>
  <c r="F29" i="10"/>
  <c r="B58" i="10"/>
  <c r="E58" i="10"/>
  <c r="D57" i="10"/>
  <c r="R37" i="10" s="1"/>
  <c r="F39" i="10"/>
  <c r="F55" i="10"/>
  <c r="F51" i="10"/>
  <c r="F47" i="10"/>
  <c r="F36" i="10"/>
  <c r="F43" i="10"/>
  <c r="F50" i="10"/>
  <c r="F52" i="10"/>
  <c r="F54" i="10"/>
  <c r="F56" i="10"/>
  <c r="F48" i="10"/>
  <c r="F45" i="10"/>
  <c r="F37" i="10"/>
  <c r="F41" i="10"/>
  <c r="F49" i="10"/>
  <c r="F53" i="10"/>
  <c r="F38" i="10"/>
  <c r="F40" i="10"/>
  <c r="F46" i="10"/>
  <c r="F42" i="10"/>
  <c r="F44" i="10"/>
  <c r="G27" i="10"/>
  <c r="G23" i="10"/>
  <c r="G19" i="10"/>
  <c r="G15" i="10"/>
  <c r="G22" i="10"/>
  <c r="G20" i="10"/>
  <c r="G24" i="10"/>
  <c r="G17" i="10"/>
  <c r="G18" i="10"/>
  <c r="G26" i="10"/>
  <c r="G21" i="10"/>
  <c r="G25" i="10"/>
  <c r="G16" i="10"/>
  <c r="G10" i="10"/>
  <c r="G13" i="10"/>
  <c r="G12" i="10"/>
  <c r="G11" i="10"/>
  <c r="G14" i="10"/>
  <c r="G7" i="10"/>
  <c r="G8" i="10"/>
  <c r="G9" i="10"/>
  <c r="G6" i="10"/>
  <c r="A43" i="15"/>
  <c r="S7" i="10"/>
  <c r="Q10" i="10"/>
  <c r="Q40" i="10"/>
  <c r="G34" i="10"/>
  <c r="F35" i="10"/>
  <c r="F21" i="12"/>
  <c r="H5" i="10" s="1"/>
  <c r="F28" i="10" l="1"/>
  <c r="B57" i="10"/>
  <c r="G30" i="10"/>
  <c r="E57" i="10"/>
  <c r="S38" i="10" s="1"/>
  <c r="G29" i="10"/>
  <c r="F59" i="10"/>
  <c r="F58" i="10"/>
  <c r="G55" i="10"/>
  <c r="G51" i="10"/>
  <c r="G47" i="10"/>
  <c r="G39" i="10"/>
  <c r="G43" i="10"/>
  <c r="G42" i="10"/>
  <c r="G50" i="10"/>
  <c r="G40" i="10"/>
  <c r="G53" i="10"/>
  <c r="G37" i="10"/>
  <c r="G44" i="10"/>
  <c r="G36" i="10"/>
  <c r="G38" i="10"/>
  <c r="G54" i="10"/>
  <c r="G41" i="10"/>
  <c r="G46" i="10"/>
  <c r="G52" i="10"/>
  <c r="G56" i="10"/>
  <c r="G48" i="10"/>
  <c r="G45" i="10"/>
  <c r="G49" i="10"/>
  <c r="H27" i="10"/>
  <c r="H26" i="10"/>
  <c r="H22" i="10"/>
  <c r="H18" i="10"/>
  <c r="H24" i="10"/>
  <c r="H17" i="10"/>
  <c r="H15" i="10"/>
  <c r="H20" i="10"/>
  <c r="H21" i="10"/>
  <c r="H19" i="10"/>
  <c r="H25" i="10"/>
  <c r="H23" i="10"/>
  <c r="H16" i="10"/>
  <c r="H12" i="10"/>
  <c r="H11" i="10"/>
  <c r="H14" i="10"/>
  <c r="H10" i="10"/>
  <c r="H13" i="10"/>
  <c r="H8" i="10"/>
  <c r="H7" i="10"/>
  <c r="H6" i="10"/>
  <c r="H9" i="10"/>
  <c r="S37" i="10"/>
  <c r="T37" i="10"/>
  <c r="R8" i="10"/>
  <c r="Q41" i="10"/>
  <c r="Q11" i="10"/>
  <c r="H34" i="10"/>
  <c r="G35" i="10"/>
  <c r="S9" i="10"/>
  <c r="F22" i="12"/>
  <c r="I5" i="10" s="1"/>
  <c r="G28" i="10" l="1"/>
  <c r="H30" i="10"/>
  <c r="G59" i="10"/>
  <c r="H29" i="10"/>
  <c r="G58" i="10"/>
  <c r="F57" i="10"/>
  <c r="I26" i="10"/>
  <c r="I25" i="10"/>
  <c r="I21" i="10"/>
  <c r="I17" i="10"/>
  <c r="I19" i="10"/>
  <c r="I23" i="10"/>
  <c r="I16" i="10"/>
  <c r="I27" i="10"/>
  <c r="I15" i="10"/>
  <c r="I20" i="10"/>
  <c r="I18" i="10"/>
  <c r="I24" i="10"/>
  <c r="I22" i="10"/>
  <c r="H47" i="10"/>
  <c r="H53" i="10"/>
  <c r="H49" i="10"/>
  <c r="H43" i="10"/>
  <c r="H36" i="10"/>
  <c r="H51" i="10"/>
  <c r="H45" i="10"/>
  <c r="H41" i="10"/>
  <c r="H55" i="10"/>
  <c r="H39" i="10"/>
  <c r="H38" i="10"/>
  <c r="H46" i="10"/>
  <c r="H40" i="10"/>
  <c r="H56" i="10"/>
  <c r="H42" i="10"/>
  <c r="H48" i="10"/>
  <c r="H37" i="10"/>
  <c r="H44" i="10"/>
  <c r="H52" i="10"/>
  <c r="H50" i="10"/>
  <c r="H54" i="10"/>
  <c r="I11" i="10"/>
  <c r="I14" i="10"/>
  <c r="I10" i="10"/>
  <c r="I13" i="10"/>
  <c r="I12" i="10"/>
  <c r="I6" i="10"/>
  <c r="I9" i="10"/>
  <c r="I7" i="10"/>
  <c r="I8" i="10"/>
  <c r="R9" i="10"/>
  <c r="R38" i="10"/>
  <c r="T38" i="10" s="1"/>
  <c r="H35" i="10"/>
  <c r="Q42" i="10"/>
  <c r="Q12" i="10"/>
  <c r="I34" i="10"/>
  <c r="F23" i="12"/>
  <c r="J5" i="10" s="1"/>
  <c r="H28" i="10" l="1"/>
  <c r="S11" i="10" s="1"/>
  <c r="I30" i="10"/>
  <c r="G57" i="10"/>
  <c r="H59" i="10"/>
  <c r="I29" i="10"/>
  <c r="H58" i="10"/>
  <c r="I56" i="10"/>
  <c r="I53" i="10"/>
  <c r="I46" i="10"/>
  <c r="I48" i="10"/>
  <c r="I54" i="10"/>
  <c r="I40" i="10"/>
  <c r="I45" i="10"/>
  <c r="I38" i="10"/>
  <c r="I52" i="10"/>
  <c r="I42" i="10"/>
  <c r="I44" i="10"/>
  <c r="I50" i="10"/>
  <c r="I49" i="10"/>
  <c r="I43" i="10"/>
  <c r="I51" i="10"/>
  <c r="I37" i="10"/>
  <c r="I39" i="10"/>
  <c r="I36" i="10"/>
  <c r="I41" i="10"/>
  <c r="I47" i="10"/>
  <c r="I55" i="10"/>
  <c r="J24" i="10"/>
  <c r="J20" i="10"/>
  <c r="J16" i="10"/>
  <c r="J23" i="10"/>
  <c r="J21" i="10"/>
  <c r="J26" i="10"/>
  <c r="J25" i="10"/>
  <c r="J18" i="10"/>
  <c r="J19" i="10"/>
  <c r="J17" i="10"/>
  <c r="J27" i="10"/>
  <c r="J22" i="10"/>
  <c r="J15" i="10"/>
  <c r="J14" i="10"/>
  <c r="J13" i="10"/>
  <c r="J12" i="10"/>
  <c r="J11" i="10"/>
  <c r="J10" i="10"/>
  <c r="J8" i="10"/>
  <c r="J7" i="10"/>
  <c r="J9" i="10"/>
  <c r="J6" i="10"/>
  <c r="R10" i="10"/>
  <c r="S10" i="10"/>
  <c r="Q43" i="10"/>
  <c r="Q13" i="10"/>
  <c r="J34" i="10"/>
  <c r="R39" i="10"/>
  <c r="S39" i="10"/>
  <c r="I35" i="10"/>
  <c r="F24" i="12"/>
  <c r="K5" i="10" s="1"/>
  <c r="H57" i="10" l="1"/>
  <c r="I28" i="10"/>
  <c r="R12" i="10" s="1"/>
  <c r="J30" i="10"/>
  <c r="J29" i="10"/>
  <c r="I59" i="10"/>
  <c r="I58" i="10"/>
  <c r="K27" i="10"/>
  <c r="K23" i="10"/>
  <c r="K19" i="10"/>
  <c r="K15" i="10"/>
  <c r="K26" i="10"/>
  <c r="K25" i="10"/>
  <c r="K18" i="10"/>
  <c r="K16" i="10"/>
  <c r="K21" i="10"/>
  <c r="K22" i="10"/>
  <c r="K20" i="10"/>
  <c r="K24" i="10"/>
  <c r="K17" i="10"/>
  <c r="J49" i="10"/>
  <c r="J43" i="10"/>
  <c r="J36" i="10"/>
  <c r="J45" i="10"/>
  <c r="J39" i="10"/>
  <c r="J55" i="10"/>
  <c r="J51" i="10"/>
  <c r="J47" i="10"/>
  <c r="J41" i="10"/>
  <c r="J53" i="10"/>
  <c r="J54" i="10"/>
  <c r="J50" i="10"/>
  <c r="J46" i="10"/>
  <c r="J40" i="10"/>
  <c r="J52" i="10"/>
  <c r="J38" i="10"/>
  <c r="J37" i="10"/>
  <c r="J44" i="10"/>
  <c r="J42" i="10"/>
  <c r="J56" i="10"/>
  <c r="J48" i="10"/>
  <c r="K14" i="10"/>
  <c r="K13" i="10"/>
  <c r="K12" i="10"/>
  <c r="K11" i="10"/>
  <c r="K10" i="10"/>
  <c r="K6" i="10"/>
  <c r="K7" i="10"/>
  <c r="K8" i="10"/>
  <c r="K9" i="10"/>
  <c r="S40" i="10"/>
  <c r="R40" i="10"/>
  <c r="T40" i="10" s="1"/>
  <c r="R11" i="10"/>
  <c r="J35" i="10"/>
  <c r="Q14" i="10"/>
  <c r="Q44" i="10"/>
  <c r="K34" i="10"/>
  <c r="T39" i="10"/>
  <c r="F25" i="12"/>
  <c r="L5" i="10" s="1"/>
  <c r="S12" i="10" l="1"/>
  <c r="I57" i="10"/>
  <c r="S42" i="10" s="1"/>
  <c r="J28" i="10"/>
  <c r="K30" i="10"/>
  <c r="K29" i="10"/>
  <c r="J59" i="10"/>
  <c r="J58" i="10"/>
  <c r="K39" i="10"/>
  <c r="K55" i="10"/>
  <c r="K51" i="10"/>
  <c r="K47" i="10"/>
  <c r="K43" i="10"/>
  <c r="K48" i="10"/>
  <c r="K42" i="10"/>
  <c r="K44" i="10"/>
  <c r="K52" i="10"/>
  <c r="K40" i="10"/>
  <c r="K50" i="10"/>
  <c r="K54" i="10"/>
  <c r="K45" i="10"/>
  <c r="K36" i="10"/>
  <c r="K38" i="10"/>
  <c r="K56" i="10"/>
  <c r="K41" i="10"/>
  <c r="K49" i="10"/>
  <c r="K37" i="10"/>
  <c r="K46" i="10"/>
  <c r="K53" i="10"/>
  <c r="L27" i="10"/>
  <c r="L26" i="10"/>
  <c r="L22" i="10"/>
  <c r="L18" i="10"/>
  <c r="L20" i="10"/>
  <c r="L15" i="10"/>
  <c r="L24" i="10"/>
  <c r="L17" i="10"/>
  <c r="L25" i="10"/>
  <c r="L23" i="10"/>
  <c r="L16" i="10"/>
  <c r="L21" i="10"/>
  <c r="L19" i="10"/>
  <c r="L13" i="10"/>
  <c r="L12" i="10"/>
  <c r="L11" i="10"/>
  <c r="L14" i="10"/>
  <c r="L10" i="10"/>
  <c r="L9" i="10"/>
  <c r="L8" i="10"/>
  <c r="L6" i="10"/>
  <c r="L7" i="10"/>
  <c r="R41" i="10"/>
  <c r="T41" i="10" s="1"/>
  <c r="S41" i="10"/>
  <c r="K35" i="10"/>
  <c r="L34" i="10"/>
  <c r="Q45" i="10"/>
  <c r="Q15" i="10"/>
  <c r="F26" i="12"/>
  <c r="M5" i="10" s="1"/>
  <c r="A2" i="10"/>
  <c r="L30" i="10" l="1"/>
  <c r="K28" i="10"/>
  <c r="S14" i="10" s="1"/>
  <c r="L29" i="10"/>
  <c r="K59" i="10"/>
  <c r="K58" i="10"/>
  <c r="J57" i="10"/>
  <c r="S43" i="10" s="1"/>
  <c r="L55" i="10"/>
  <c r="L51" i="10"/>
  <c r="L47" i="10"/>
  <c r="L43" i="10"/>
  <c r="L36" i="10"/>
  <c r="L39" i="10"/>
  <c r="L37" i="10"/>
  <c r="L42" i="10"/>
  <c r="L50" i="10"/>
  <c r="L40" i="10"/>
  <c r="L54" i="10"/>
  <c r="L45" i="10"/>
  <c r="L46" i="10"/>
  <c r="L56" i="10"/>
  <c r="L53" i="10"/>
  <c r="L41" i="10"/>
  <c r="L49" i="10"/>
  <c r="L44" i="10"/>
  <c r="L52" i="10"/>
  <c r="L38" i="10"/>
  <c r="L48" i="10"/>
  <c r="M26" i="10"/>
  <c r="M25" i="10"/>
  <c r="M21" i="10"/>
  <c r="M17" i="10"/>
  <c r="M24" i="10"/>
  <c r="M22" i="10"/>
  <c r="M15" i="10"/>
  <c r="M27" i="10"/>
  <c r="M19" i="10"/>
  <c r="M23" i="10"/>
  <c r="M16" i="10"/>
  <c r="M20" i="10"/>
  <c r="M18" i="10"/>
  <c r="M12" i="10"/>
  <c r="M11" i="10"/>
  <c r="M14" i="10"/>
  <c r="M10" i="10"/>
  <c r="M13" i="10"/>
  <c r="S13" i="10"/>
  <c r="M6" i="10"/>
  <c r="M9" i="10"/>
  <c r="M7" i="10"/>
  <c r="M8" i="10"/>
  <c r="R13" i="10"/>
  <c r="Q16" i="10"/>
  <c r="Q46" i="10"/>
  <c r="M34" i="10"/>
  <c r="L35" i="10"/>
  <c r="R42" i="10"/>
  <c r="F27" i="12"/>
  <c r="G6" i="30" s="1"/>
  <c r="F10" i="30" l="1"/>
  <c r="F11" i="30"/>
  <c r="G16" i="30"/>
  <c r="F12" i="30"/>
  <c r="G9" i="30"/>
  <c r="F18" i="30"/>
  <c r="G25" i="30"/>
  <c r="F13" i="30"/>
  <c r="F17" i="30"/>
  <c r="F20" i="30"/>
  <c r="F21" i="30"/>
  <c r="F19" i="30"/>
  <c r="F27" i="30"/>
  <c r="F8" i="30"/>
  <c r="F23" i="30"/>
  <c r="F9" i="30"/>
  <c r="G30" i="30"/>
  <c r="F26" i="30"/>
  <c r="G26" i="30"/>
  <c r="F25" i="30"/>
  <c r="F29" i="30"/>
  <c r="G12" i="30"/>
  <c r="F15" i="30"/>
  <c r="F31" i="30"/>
  <c r="G20" i="30"/>
  <c r="F28" i="30"/>
  <c r="G32" i="30"/>
  <c r="F34" i="30"/>
  <c r="G28" i="30"/>
  <c r="G18" i="30"/>
  <c r="G34" i="30"/>
  <c r="G31" i="30"/>
  <c r="G17" i="30"/>
  <c r="F32" i="30"/>
  <c r="F14" i="30"/>
  <c r="F30" i="30"/>
  <c r="G24" i="30"/>
  <c r="F22" i="30"/>
  <c r="F33" i="30"/>
  <c r="G35" i="30"/>
  <c r="G23" i="30"/>
  <c r="F24" i="30"/>
  <c r="G27" i="30"/>
  <c r="F16" i="30"/>
  <c r="G14" i="30"/>
  <c r="G8" i="30"/>
  <c r="G22" i="30"/>
  <c r="G13" i="30"/>
  <c r="G21" i="30"/>
  <c r="G11" i="30"/>
  <c r="G10" i="30"/>
  <c r="G19" i="30"/>
  <c r="G15" i="30"/>
  <c r="G29" i="30"/>
  <c r="G33" i="30"/>
  <c r="F35" i="30"/>
  <c r="L28" i="10"/>
  <c r="S15" i="10" s="1"/>
  <c r="M30" i="10"/>
  <c r="K57" i="10"/>
  <c r="S44" i="10" s="1"/>
  <c r="M29" i="10"/>
  <c r="L59" i="10"/>
  <c r="L58" i="10"/>
  <c r="M45" i="10"/>
  <c r="M41" i="10"/>
  <c r="M53" i="10"/>
  <c r="M49" i="10"/>
  <c r="M50" i="10"/>
  <c r="M42" i="10"/>
  <c r="M37" i="10"/>
  <c r="M46" i="10"/>
  <c r="M47" i="10"/>
  <c r="M52" i="10"/>
  <c r="M55" i="10"/>
  <c r="M40" i="10"/>
  <c r="M56" i="10"/>
  <c r="M44" i="10"/>
  <c r="M43" i="10"/>
  <c r="M51" i="10"/>
  <c r="M38" i="10"/>
  <c r="M54" i="10"/>
  <c r="M39" i="10"/>
  <c r="M36" i="10"/>
  <c r="M48" i="10"/>
  <c r="N5" i="10"/>
  <c r="Q47" i="10" s="1"/>
  <c r="R14" i="10"/>
  <c r="M35" i="10"/>
  <c r="T42" i="10"/>
  <c r="R43" i="10"/>
  <c r="T106" i="12"/>
  <c r="B79" i="12"/>
  <c r="A79" i="12"/>
  <c r="B78" i="12"/>
  <c r="A78" i="12"/>
  <c r="B77" i="12"/>
  <c r="A77" i="12"/>
  <c r="B76" i="12"/>
  <c r="B75" i="12"/>
  <c r="B74" i="12"/>
  <c r="B73" i="12"/>
  <c r="B72" i="12"/>
  <c r="B71" i="12"/>
  <c r="B70" i="12"/>
  <c r="B69" i="12"/>
  <c r="B68" i="12"/>
  <c r="B67" i="12"/>
  <c r="B66" i="12"/>
  <c r="B65" i="12"/>
  <c r="B64" i="12"/>
  <c r="B63" i="12"/>
  <c r="C54" i="12"/>
  <c r="G36" i="30" l="1"/>
  <c r="L15" i="30" s="1"/>
  <c r="F36" i="30"/>
  <c r="K29" i="30" s="1"/>
  <c r="Q17" i="10"/>
  <c r="C27" i="12"/>
  <c r="M28" i="10"/>
  <c r="N34" i="10"/>
  <c r="N43" i="10" s="1"/>
  <c r="O43" i="10" s="1"/>
  <c r="B27" i="12"/>
  <c r="H35" i="28"/>
  <c r="I35" i="28"/>
  <c r="L57" i="10"/>
  <c r="S45" i="10" s="1"/>
  <c r="M59" i="10"/>
  <c r="M58" i="10"/>
  <c r="N24" i="10"/>
  <c r="O24" i="10" s="1"/>
  <c r="N20" i="10"/>
  <c r="O20" i="10" s="1"/>
  <c r="N16" i="10"/>
  <c r="O16" i="10" s="1"/>
  <c r="N27" i="10"/>
  <c r="O27" i="10" s="1"/>
  <c r="N19" i="10"/>
  <c r="O19" i="10" s="1"/>
  <c r="N17" i="10"/>
  <c r="O17" i="10" s="1"/>
  <c r="N22" i="10"/>
  <c r="O22" i="10" s="1"/>
  <c r="N15" i="10"/>
  <c r="O15" i="10" s="1"/>
  <c r="N23" i="10"/>
  <c r="O23" i="10" s="1"/>
  <c r="N21" i="10"/>
  <c r="O21" i="10" s="1"/>
  <c r="N25" i="10"/>
  <c r="O25" i="10" s="1"/>
  <c r="N18" i="10"/>
  <c r="O18" i="10" s="1"/>
  <c r="N26" i="10"/>
  <c r="O26" i="10" s="1"/>
  <c r="N37" i="10"/>
  <c r="O37" i="10" s="1"/>
  <c r="N14" i="10"/>
  <c r="O14" i="10" s="1"/>
  <c r="N10" i="10"/>
  <c r="O10" i="10" s="1"/>
  <c r="N13" i="10"/>
  <c r="O13" i="10" s="1"/>
  <c r="N12" i="10"/>
  <c r="O12" i="10" s="1"/>
  <c r="N11" i="10"/>
  <c r="N7" i="10"/>
  <c r="N9" i="10"/>
  <c r="O9" i="10" s="1"/>
  <c r="N8" i="10"/>
  <c r="N6" i="10"/>
  <c r="R15" i="10"/>
  <c r="R44" i="10"/>
  <c r="T44" i="10" s="1"/>
  <c r="T43" i="10"/>
  <c r="N35" i="10"/>
  <c r="C28" i="10"/>
  <c r="N56" i="10" l="1"/>
  <c r="O56" i="10" s="1"/>
  <c r="N44" i="10"/>
  <c r="O44" i="10" s="1"/>
  <c r="N46" i="10"/>
  <c r="O46" i="10" s="1"/>
  <c r="N45" i="10"/>
  <c r="O45" i="10" s="1"/>
  <c r="N47" i="10"/>
  <c r="O47" i="10" s="1"/>
  <c r="L9" i="30"/>
  <c r="L22" i="30"/>
  <c r="L10" i="30"/>
  <c r="K17" i="30"/>
  <c r="K8" i="30"/>
  <c r="L8" i="30"/>
  <c r="K21" i="30"/>
  <c r="K23" i="30"/>
  <c r="K11" i="30"/>
  <c r="L12" i="30"/>
  <c r="L32" i="30"/>
  <c r="L24" i="30"/>
  <c r="K19" i="30"/>
  <c r="K20" i="30"/>
  <c r="K28" i="30"/>
  <c r="L34" i="30"/>
  <c r="L14" i="30"/>
  <c r="L20" i="30"/>
  <c r="K25" i="30"/>
  <c r="L17" i="30"/>
  <c r="L16" i="30"/>
  <c r="L26" i="30"/>
  <c r="K33" i="30"/>
  <c r="L33" i="30"/>
  <c r="L18" i="30"/>
  <c r="K12" i="30"/>
  <c r="L35" i="30"/>
  <c r="L23" i="30"/>
  <c r="K10" i="30"/>
  <c r="K18" i="30"/>
  <c r="K26" i="30"/>
  <c r="L25" i="30"/>
  <c r="K15" i="30"/>
  <c r="L27" i="30"/>
  <c r="L28" i="30"/>
  <c r="K22" i="30"/>
  <c r="K13" i="30"/>
  <c r="L19" i="30"/>
  <c r="L11" i="30"/>
  <c r="K30" i="30"/>
  <c r="K32" i="30"/>
  <c r="K31" i="30"/>
  <c r="K35" i="30"/>
  <c r="K24" i="30"/>
  <c r="K34" i="30"/>
  <c r="K16" i="30"/>
  <c r="K27" i="30"/>
  <c r="K14" i="30"/>
  <c r="K9" i="30"/>
  <c r="L31" i="30"/>
  <c r="L13" i="30"/>
  <c r="L30" i="30"/>
  <c r="L21" i="30"/>
  <c r="L29" i="30"/>
  <c r="N53" i="10"/>
  <c r="O53" i="10" s="1"/>
  <c r="N50" i="10"/>
  <c r="O50" i="10" s="1"/>
  <c r="N41" i="10"/>
  <c r="O41" i="10" s="1"/>
  <c r="N55" i="10"/>
  <c r="O55" i="10" s="1"/>
  <c r="N54" i="10"/>
  <c r="O54" i="10" s="1"/>
  <c r="N49" i="10"/>
  <c r="O49" i="10" s="1"/>
  <c r="N52" i="10"/>
  <c r="O52" i="10" s="1"/>
  <c r="N40" i="10"/>
  <c r="O40" i="10" s="1"/>
  <c r="N36" i="10"/>
  <c r="O36" i="10" s="1"/>
  <c r="N38" i="10"/>
  <c r="O38" i="10" s="1"/>
  <c r="N48" i="10"/>
  <c r="O48" i="10" s="1"/>
  <c r="N42" i="10"/>
  <c r="O42" i="10" s="1"/>
  <c r="N51" i="10"/>
  <c r="O51" i="10" s="1"/>
  <c r="N39" i="10"/>
  <c r="O39" i="10" s="1"/>
  <c r="H32" i="28"/>
  <c r="I30" i="28"/>
  <c r="H30" i="28"/>
  <c r="H20" i="28"/>
  <c r="H11" i="28"/>
  <c r="H23" i="28"/>
  <c r="H22" i="28"/>
  <c r="H19" i="28"/>
  <c r="I33" i="28"/>
  <c r="I21" i="28"/>
  <c r="I31" i="28"/>
  <c r="I13" i="28"/>
  <c r="H13" i="28"/>
  <c r="H10" i="28"/>
  <c r="H16" i="28"/>
  <c r="H33" i="28"/>
  <c r="I18" i="28"/>
  <c r="I8" i="28"/>
  <c r="I11" i="28"/>
  <c r="I12" i="28"/>
  <c r="H8" i="28"/>
  <c r="I16" i="28"/>
  <c r="H29" i="28"/>
  <c r="I34" i="28"/>
  <c r="H34" i="28"/>
  <c r="I22" i="28"/>
  <c r="H24" i="28"/>
  <c r="I23" i="28"/>
  <c r="I25" i="28"/>
  <c r="H26" i="28"/>
  <c r="I20" i="28"/>
  <c r="I15" i="28"/>
  <c r="H9" i="28"/>
  <c r="H14" i="28"/>
  <c r="H15" i="28"/>
  <c r="H17" i="28"/>
  <c r="I27" i="28"/>
  <c r="I26" i="28"/>
  <c r="I9" i="28"/>
  <c r="I29" i="28"/>
  <c r="I19" i="28"/>
  <c r="H27" i="28"/>
  <c r="I32" i="28"/>
  <c r="H28" i="28"/>
  <c r="I28" i="28"/>
  <c r="H18" i="28"/>
  <c r="I24" i="28"/>
  <c r="I10" i="28"/>
  <c r="I17" i="28"/>
  <c r="H25" i="28"/>
  <c r="H31" i="28"/>
  <c r="H21" i="28"/>
  <c r="I14" i="28"/>
  <c r="H12" i="28"/>
  <c r="M57" i="10"/>
  <c r="S46" i="10" s="1"/>
  <c r="O7" i="10"/>
  <c r="N30" i="10"/>
  <c r="O11" i="10"/>
  <c r="N29" i="10"/>
  <c r="B25" i="12" s="1"/>
  <c r="O8" i="10"/>
  <c r="O6" i="10"/>
  <c r="R45" i="10"/>
  <c r="T45" i="10" s="1"/>
  <c r="O35" i="10"/>
  <c r="R16" i="10"/>
  <c r="S16" i="10"/>
  <c r="R6" i="10"/>
  <c r="S6" i="10"/>
  <c r="N59" i="10" l="1"/>
  <c r="O59" i="10" s="1"/>
  <c r="N58" i="10"/>
  <c r="B26" i="12" s="1"/>
  <c r="O30" i="10"/>
  <c r="C28" i="12" s="1"/>
  <c r="C25" i="12"/>
  <c r="N28" i="10"/>
  <c r="S17" i="10" s="1"/>
  <c r="O29" i="10"/>
  <c r="B28" i="12" s="1"/>
  <c r="R46" i="10"/>
  <c r="T46" i="10" s="1"/>
  <c r="T6" i="10"/>
  <c r="T10" i="10"/>
  <c r="T11" i="10"/>
  <c r="T12" i="10"/>
  <c r="T16" i="10"/>
  <c r="T9" i="10"/>
  <c r="T8" i="10"/>
  <c r="T14" i="10"/>
  <c r="T7" i="10"/>
  <c r="T15" i="10"/>
  <c r="T13" i="10"/>
  <c r="C26" i="12" l="1"/>
  <c r="O58" i="10"/>
  <c r="N57" i="10"/>
  <c r="O57" i="10" s="1"/>
  <c r="O28" i="10"/>
  <c r="R17" i="10"/>
  <c r="T17" i="10" s="1"/>
  <c r="C137" i="12"/>
  <c r="B136" i="12"/>
  <c r="S47" i="10" l="1"/>
  <c r="R47" i="10"/>
  <c r="T47" i="10" s="1"/>
  <c r="B137" i="12"/>
  <c r="B32" i="12"/>
  <c r="B33" i="12" s="1"/>
  <c r="B49" i="12" s="1"/>
  <c r="B135" i="12"/>
  <c r="C136" i="12"/>
  <c r="C135" i="12"/>
  <c r="C138" i="12" s="1"/>
  <c r="D138" i="12" s="1"/>
  <c r="H135" i="12" l="1"/>
  <c r="B138" i="12"/>
  <c r="A138" i="12" s="1"/>
  <c r="B44" i="12"/>
  <c r="F44" i="12" s="1"/>
  <c r="B51" i="12"/>
  <c r="E51" i="12" s="1"/>
  <c r="B41" i="12"/>
  <c r="D41" i="12" s="1"/>
  <c r="B52" i="12"/>
  <c r="E52" i="12" s="1"/>
  <c r="B43" i="12"/>
  <c r="E43" i="12" s="1"/>
  <c r="B53" i="12"/>
  <c r="F53" i="12" s="1"/>
  <c r="B42" i="12"/>
  <c r="D42" i="12" s="1"/>
  <c r="B46" i="12"/>
  <c r="F46" i="12" s="1"/>
  <c r="B38" i="12"/>
  <c r="D38" i="12" s="1"/>
  <c r="B39" i="12"/>
  <c r="G39" i="12" s="1"/>
  <c r="B37" i="12"/>
  <c r="E37" i="12" s="1"/>
  <c r="B48" i="12"/>
  <c r="D48" i="12" s="1"/>
  <c r="B47" i="12"/>
  <c r="E47" i="12" s="1"/>
  <c r="B45" i="12"/>
  <c r="G45" i="12" s="1"/>
  <c r="B40" i="12"/>
  <c r="D40" i="12" s="1"/>
  <c r="B50" i="12"/>
  <c r="G50" i="12" s="1"/>
  <c r="F49" i="12"/>
  <c r="G49" i="12"/>
  <c r="E49" i="12"/>
  <c r="D49" i="12"/>
  <c r="G135" i="12" l="1"/>
  <c r="E42" i="12"/>
  <c r="G53" i="12"/>
  <c r="F38" i="12"/>
  <c r="F45" i="12"/>
  <c r="F42" i="12"/>
  <c r="E41" i="12"/>
  <c r="G37" i="12"/>
  <c r="F41" i="12"/>
  <c r="D37" i="12"/>
  <c r="D51" i="12"/>
  <c r="D39" i="12"/>
  <c r="E44" i="12"/>
  <c r="E40" i="12"/>
  <c r="G44" i="12"/>
  <c r="F43" i="12"/>
  <c r="D44" i="12"/>
  <c r="G41" i="12"/>
  <c r="D50" i="12"/>
  <c r="F37" i="12"/>
  <c r="G42" i="12"/>
  <c r="F40" i="12"/>
  <c r="D52" i="12"/>
  <c r="G48" i="12"/>
  <c r="G40" i="12"/>
  <c r="B54" i="12"/>
  <c r="F52" i="12"/>
  <c r="G46" i="12"/>
  <c r="G52" i="12"/>
  <c r="D47" i="12"/>
  <c r="D46" i="12"/>
  <c r="F51" i="12"/>
  <c r="E45" i="12"/>
  <c r="F39" i="12"/>
  <c r="D53" i="12"/>
  <c r="G51" i="12"/>
  <c r="D45" i="12"/>
  <c r="E39" i="12"/>
  <c r="E53" i="12"/>
  <c r="E50" i="12"/>
  <c r="F48" i="12"/>
  <c r="G47" i="12"/>
  <c r="G43" i="12"/>
  <c r="E38" i="12"/>
  <c r="F50" i="12"/>
  <c r="F47" i="12"/>
  <c r="E48" i="12"/>
  <c r="E46" i="12"/>
  <c r="D43" i="12"/>
  <c r="G38" i="12"/>
  <c r="F54" i="12" l="1"/>
  <c r="F56" i="12" s="1"/>
  <c r="E135" i="12" s="1"/>
  <c r="D54" i="12"/>
  <c r="G54" i="12"/>
  <c r="G56" i="12" s="1"/>
  <c r="F135" i="12" s="1"/>
  <c r="E54" i="12"/>
  <c r="E56" i="12" s="1"/>
  <c r="D135" i="12" s="1"/>
</calcChain>
</file>

<file path=xl/sharedStrings.xml><?xml version="1.0" encoding="utf-8"?>
<sst xmlns="http://schemas.openxmlformats.org/spreadsheetml/2006/main" count="3504" uniqueCount="640">
  <si>
    <r>
      <t xml:space="preserve">Notes: </t>
    </r>
    <r>
      <rPr>
        <b/>
        <sz val="14"/>
        <rFont val="Calibri"/>
        <family val="2"/>
        <scheme val="minor"/>
      </rPr>
      <t>Data is only to be input into cells highlighted in yellow.</t>
    </r>
    <r>
      <rPr>
        <sz val="11"/>
        <rFont val="Calibri"/>
        <family val="2"/>
        <scheme val="minor"/>
      </rPr>
      <t xml:space="preserve"> Figures have been collected from the Department of Sustainability, Environment, Water, Population and Communities (DSEWPaC)
The Australian recycling sector
12 January 2012</t>
    </r>
  </si>
  <si>
    <t xml:space="preserve">Produced By: Mitchell Rawlings </t>
  </si>
  <si>
    <t>Contact: Mitchell.rawlings@transpac.com.au</t>
  </si>
  <si>
    <t>Change Log</t>
  </si>
  <si>
    <t xml:space="preserve">Date </t>
  </si>
  <si>
    <t xml:space="preserve">Version </t>
  </si>
  <si>
    <t>Description of Changes</t>
  </si>
  <si>
    <t>24th June  2013</t>
  </si>
  <si>
    <t>1.0</t>
  </si>
  <si>
    <t xml:space="preserve">Initial Release </t>
  </si>
  <si>
    <t>24th July 2013</t>
  </si>
  <si>
    <t>1.1</t>
  </si>
  <si>
    <t>Correction of link in cell C123</t>
  </si>
  <si>
    <t xml:space="preserve">24th September </t>
  </si>
  <si>
    <t>2.0</t>
  </si>
  <si>
    <t>Add change log and correction of YTD totals in snapshot</t>
  </si>
  <si>
    <t>Prior</t>
  </si>
  <si>
    <t>Month</t>
  </si>
  <si>
    <t>Consolidated Waste Report</t>
  </si>
  <si>
    <t>Rockhampton Grammer School</t>
  </si>
  <si>
    <t>Customer Data</t>
  </si>
  <si>
    <t xml:space="preserve">Customer Name </t>
  </si>
  <si>
    <t>Current Month</t>
  </si>
  <si>
    <t>Prior Month</t>
  </si>
  <si>
    <t xml:space="preserve">Account Manager </t>
  </si>
  <si>
    <t>Matthew Worley</t>
  </si>
  <si>
    <t>Diversion</t>
  </si>
  <si>
    <t>Landfill</t>
  </si>
  <si>
    <t>Current Tonnes</t>
  </si>
  <si>
    <t>Spend</t>
  </si>
  <si>
    <t xml:space="preserve">Prior tonnage </t>
  </si>
  <si>
    <t xml:space="preserve">Year to Date </t>
  </si>
  <si>
    <t>Recycling Volumes</t>
  </si>
  <si>
    <t>Total Recycling YTD</t>
  </si>
  <si>
    <t>Residual after line items.</t>
  </si>
  <si>
    <t>NB: This is the assumed break up for residual/commingle recycling</t>
  </si>
  <si>
    <t xml:space="preserve">YTD - Recycling Net Benefit Calculations </t>
  </si>
  <si>
    <t>Material</t>
  </si>
  <si>
    <t>Quantity Recycled Commingle
(Tonnes)</t>
  </si>
  <si>
    <t>Quantity Recycled line item (Tonnes)</t>
  </si>
  <si>
    <r>
      <t>Landfill Space Saved (m</t>
    </r>
    <r>
      <rPr>
        <b/>
        <vertAlign val="superscript"/>
        <sz val="11.5"/>
        <color indexed="8"/>
        <rFont val="Arial"/>
        <family val="2"/>
      </rPr>
      <t>3</t>
    </r>
    <r>
      <rPr>
        <b/>
        <sz val="11.5"/>
        <color indexed="8"/>
        <rFont val="Arial"/>
        <family val="2"/>
      </rPr>
      <t>)</t>
    </r>
  </si>
  <si>
    <r>
      <t>Total Greenhouse Benefits
(Tonnes CO</t>
    </r>
    <r>
      <rPr>
        <b/>
        <vertAlign val="subscript"/>
        <sz val="11.5"/>
        <color indexed="8"/>
        <rFont val="Arial"/>
        <family val="2"/>
      </rPr>
      <t>2</t>
    </r>
    <r>
      <rPr>
        <b/>
        <sz val="11.5"/>
        <color indexed="8"/>
        <rFont val="Arial"/>
        <family val="2"/>
      </rPr>
      <t xml:space="preserve"> eq)</t>
    </r>
  </si>
  <si>
    <t>Total
Energy Savings
(Gigajoule)</t>
  </si>
  <si>
    <t>Total 
Water Savings
(1,000 Litres)</t>
  </si>
  <si>
    <t xml:space="preserve">NB: Line items should be used when specific break ups of waste are know. </t>
  </si>
  <si>
    <t>Paper/ Cardboard</t>
  </si>
  <si>
    <t>Liquid Paperboard</t>
  </si>
  <si>
    <t>Glass</t>
  </si>
  <si>
    <t>Aluminium</t>
  </si>
  <si>
    <t>Steel</t>
  </si>
  <si>
    <t>HDPE</t>
  </si>
  <si>
    <t>PET</t>
  </si>
  <si>
    <t>PVC</t>
  </si>
  <si>
    <t>PP</t>
  </si>
  <si>
    <t xml:space="preserve">Rubber </t>
  </si>
  <si>
    <t>Timber Pallets</t>
  </si>
  <si>
    <t>Food Organics</t>
  </si>
  <si>
    <t>Garden Organics</t>
  </si>
  <si>
    <t>Mixed Plastics</t>
  </si>
  <si>
    <t xml:space="preserve">Total </t>
  </si>
  <si>
    <t>Cars Removed</t>
  </si>
  <si>
    <t>House Energy use</t>
  </si>
  <si>
    <t xml:space="preserve">Annual Water use </t>
  </si>
  <si>
    <t xml:space="preserve">  Recycling Composition </t>
  </si>
  <si>
    <t xml:space="preserve">Select Industry </t>
  </si>
  <si>
    <t>NSW Est 2006</t>
  </si>
  <si>
    <t>Pre Defined</t>
  </si>
  <si>
    <t>Company Audit</t>
  </si>
  <si>
    <t>NB: Pre defined composition should be used unless a waste audit has been conducted and the customer is aware of the break ups.  Total Percentage must equal 100%</t>
  </si>
  <si>
    <t xml:space="preserve">Recycling Benefit Values </t>
  </si>
  <si>
    <t>GH benefit  (unit of CO2 per unit of recycled material</t>
  </si>
  <si>
    <t>Energy Savings (Gigajoule per tonne recycled)</t>
  </si>
  <si>
    <t>Water Savings (1,000 litres per tonne recycled)</t>
  </si>
  <si>
    <r>
      <rPr>
        <b/>
        <sz val="11"/>
        <rFont val="Arial"/>
        <family val="2"/>
      </rPr>
      <t>Landfill savings (m</t>
    </r>
    <r>
      <rPr>
        <b/>
        <vertAlign val="superscript"/>
        <sz val="11"/>
        <rFont val="Arial"/>
        <family val="2"/>
      </rPr>
      <t>3</t>
    </r>
    <r>
      <rPr>
        <b/>
        <sz val="11"/>
        <rFont val="Arial"/>
        <family val="2"/>
      </rPr>
      <t>/kg material)</t>
    </r>
  </si>
  <si>
    <t>Recycling Composition Estimates</t>
  </si>
  <si>
    <t xml:space="preserve">Recycling Composition </t>
  </si>
  <si>
    <t>Total %</t>
  </si>
  <si>
    <t>Offices</t>
  </si>
  <si>
    <t>Shopping Centres</t>
  </si>
  <si>
    <t>Health Services</t>
  </si>
  <si>
    <t>Hospitality</t>
  </si>
  <si>
    <t>Retail Trade</t>
  </si>
  <si>
    <t xml:space="preserve">Manufacturing </t>
  </si>
  <si>
    <t>Services (Property and Business</t>
  </si>
  <si>
    <t>Note: Figures have been collected from the Department of Sustainability, Environment, Water, Population and Communities (DSEWPaC)
The Australian recycling sector
12 January 2012</t>
  </si>
  <si>
    <t>Cars</t>
  </si>
  <si>
    <t>Electricity</t>
  </si>
  <si>
    <t>Water</t>
  </si>
  <si>
    <t>Diversion Spend</t>
  </si>
  <si>
    <t>Landfill Spend</t>
  </si>
  <si>
    <t>Tonnes</t>
  </si>
  <si>
    <t>Up</t>
  </si>
  <si>
    <t>Down</t>
  </si>
  <si>
    <t xml:space="preserve">FYTD Waste Management Summary
</t>
  </si>
  <si>
    <t>FYTD Tonnage Summary By Waste Stream</t>
  </si>
  <si>
    <t>Tonnage Collected</t>
  </si>
  <si>
    <t>Waste Stream</t>
  </si>
  <si>
    <t>Total</t>
  </si>
  <si>
    <t>Diversion Trend</t>
  </si>
  <si>
    <t>General</t>
  </si>
  <si>
    <t>Recycle</t>
  </si>
  <si>
    <t>Confidential</t>
  </si>
  <si>
    <t>Commingle</t>
  </si>
  <si>
    <t>Timber</t>
  </si>
  <si>
    <t>Liquids</t>
  </si>
  <si>
    <t>Gun Washer</t>
  </si>
  <si>
    <t>Paper</t>
  </si>
  <si>
    <t>Fee's/Charges</t>
  </si>
  <si>
    <t>TOTAL</t>
  </si>
  <si>
    <t>DIVERSION</t>
  </si>
  <si>
    <t>LANDFILL</t>
  </si>
  <si>
    <t>FYTD Spend Summary By Waste Stream</t>
  </si>
  <si>
    <t>Waste Disposal Spend</t>
  </si>
  <si>
    <t>**  Summarised by service/transaction date</t>
  </si>
  <si>
    <t xml:space="preserve"> Waste Comparison</t>
  </si>
  <si>
    <t>Current Year</t>
  </si>
  <si>
    <t>Weight (t)</t>
  </si>
  <si>
    <t xml:space="preserve">Monthly Waste Management Transactions
</t>
  </si>
  <si>
    <t>Transaction Month</t>
  </si>
  <si>
    <t>(All)</t>
  </si>
  <si>
    <r>
      <rPr>
        <b/>
        <sz val="14"/>
        <color theme="7"/>
        <rFont val="Wingdings 3"/>
        <family val="1"/>
        <charset val="2"/>
      </rPr>
      <t>Ñ</t>
    </r>
    <r>
      <rPr>
        <b/>
        <i/>
        <sz val="14"/>
        <color theme="7"/>
        <rFont val="Calibri"/>
        <family val="2"/>
        <scheme val="minor"/>
      </rPr>
      <t>Select Month in List</t>
    </r>
  </si>
  <si>
    <t>Account Number</t>
  </si>
  <si>
    <t>Site Name</t>
  </si>
  <si>
    <t>Service Description</t>
  </si>
  <si>
    <t>Unit Amount</t>
  </si>
  <si>
    <t>No. Units</t>
  </si>
  <si>
    <t>Weight
(kg)</t>
  </si>
  <si>
    <r>
      <t>Volume (m</t>
    </r>
    <r>
      <rPr>
        <b/>
        <vertAlign val="superscript"/>
        <sz val="11"/>
        <color theme="0"/>
        <rFont val="Calibri"/>
        <family val="2"/>
        <scheme val="minor"/>
      </rPr>
      <t>3</t>
    </r>
    <r>
      <rPr>
        <b/>
        <sz val="11"/>
        <color theme="0"/>
        <rFont val="Calibri"/>
        <family val="2"/>
        <scheme val="minor"/>
      </rPr>
      <t>)</t>
    </r>
  </si>
  <si>
    <t>Monthly Charged
(ex GST)</t>
  </si>
  <si>
    <t>Row Labels</t>
  </si>
  <si>
    <t>Waste Category</t>
  </si>
  <si>
    <t>Description</t>
  </si>
  <si>
    <t xml:space="preserve">No. Units Serviced </t>
  </si>
  <si>
    <t>Weight (kg)</t>
  </si>
  <si>
    <t xml:space="preserve">Volume (m3) </t>
  </si>
  <si>
    <t>Monthly Charged ($)</t>
  </si>
  <si>
    <t>(blank)</t>
  </si>
  <si>
    <t>(blank) Total</t>
  </si>
  <si>
    <t>Rockhampton Grammar School RGS</t>
  </si>
  <si>
    <t>Clear 4.5M Bin</t>
  </si>
  <si>
    <t>Bin Blocked 4.5m Bin</t>
  </si>
  <si>
    <t>Service Declined 4.5m Bin</t>
  </si>
  <si>
    <t>Safety Location 4.5m Bin</t>
  </si>
  <si>
    <t>Exchange 4.5M Bin</t>
  </si>
  <si>
    <t>Charge Weekend Service</t>
  </si>
  <si>
    <t>10211316 Total</t>
  </si>
  <si>
    <t>Environmental Fee</t>
  </si>
  <si>
    <t>10239765 Total</t>
  </si>
  <si>
    <t>Rockhampton Grammar Sch Rowing</t>
  </si>
  <si>
    <t>Clear 3.0M Bin</t>
  </si>
  <si>
    <t>Waste Plus(Excess Weight)</t>
  </si>
  <si>
    <t>10254159 Total</t>
  </si>
  <si>
    <t>Grand Total</t>
  </si>
  <si>
    <t>Site City</t>
  </si>
  <si>
    <t>Transaction Date</t>
  </si>
  <si>
    <t>No. Units Serviced</t>
  </si>
  <si>
    <t>Volume (m3)</t>
  </si>
  <si>
    <t>Jul 21</t>
  </si>
  <si>
    <t>ROCKHAMPTON</t>
  </si>
  <si>
    <t>2021-07-06</t>
  </si>
  <si>
    <t>2021-07-14</t>
  </si>
  <si>
    <t>2021-07-21</t>
  </si>
  <si>
    <t>2021-07-28</t>
  </si>
  <si>
    <t>2021-07-13</t>
  </si>
  <si>
    <t>2021-07-20</t>
  </si>
  <si>
    <t>2021-07-27</t>
  </si>
  <si>
    <t>2021-07-01</t>
  </si>
  <si>
    <t>2021-07-03</t>
  </si>
  <si>
    <t>2021-07-09</t>
  </si>
  <si>
    <t>2021-07-15</t>
  </si>
  <si>
    <t>2021-07-16</t>
  </si>
  <si>
    <t>2021-07-17</t>
  </si>
  <si>
    <t>2021-07-19</t>
  </si>
  <si>
    <t>2021-07-22</t>
  </si>
  <si>
    <t>2021-07-23</t>
  </si>
  <si>
    <t>2021-07-24</t>
  </si>
  <si>
    <t>2021-07-26</t>
  </si>
  <si>
    <t>2021-07-29</t>
  </si>
  <si>
    <t>2021-07-30</t>
  </si>
  <si>
    <t>2021-07-31</t>
  </si>
  <si>
    <t>2021-07-02</t>
  </si>
  <si>
    <t>2021-07-12</t>
  </si>
  <si>
    <t>Aug 21</t>
  </si>
  <si>
    <t>2021-08-28</t>
  </si>
  <si>
    <t>2021-08-04</t>
  </si>
  <si>
    <t>2021-08-11</t>
  </si>
  <si>
    <t>2021-08-18</t>
  </si>
  <si>
    <t>2021-08-03</t>
  </si>
  <si>
    <t>2021-08-10</t>
  </si>
  <si>
    <t>2021-08-17</t>
  </si>
  <si>
    <t>2021-08-24</t>
  </si>
  <si>
    <t>2021-08-02</t>
  </si>
  <si>
    <t>2021-08-05</t>
  </si>
  <si>
    <t>2021-08-06</t>
  </si>
  <si>
    <t>2021-08-07</t>
  </si>
  <si>
    <t>2021-08-09</t>
  </si>
  <si>
    <t>2021-08-12</t>
  </si>
  <si>
    <t>2021-08-13</t>
  </si>
  <si>
    <t>2021-08-14</t>
  </si>
  <si>
    <t>2021-08-16</t>
  </si>
  <si>
    <t>2021-08-19</t>
  </si>
  <si>
    <t>2021-08-20</t>
  </si>
  <si>
    <t>2021-08-21</t>
  </si>
  <si>
    <t>2021-08-23</t>
  </si>
  <si>
    <t>2021-08-25</t>
  </si>
  <si>
    <t>2021-08-26</t>
  </si>
  <si>
    <t>2021-08-27</t>
  </si>
  <si>
    <t>2021-08-30</t>
  </si>
  <si>
    <t>2021-08-31</t>
  </si>
  <si>
    <t>Sep 21</t>
  </si>
  <si>
    <t>2021-09-18</t>
  </si>
  <si>
    <t>2021-09-27</t>
  </si>
  <si>
    <t>2021-09-28</t>
  </si>
  <si>
    <t>2021-09-29</t>
  </si>
  <si>
    <t>2021-09-30</t>
  </si>
  <si>
    <t>2021-09-01</t>
  </si>
  <si>
    <t>2021-09-02</t>
  </si>
  <si>
    <t>2021-09-03</t>
  </si>
  <si>
    <t>2021-09-04</t>
  </si>
  <si>
    <t>2021-09-06</t>
  </si>
  <si>
    <t>2021-09-07</t>
  </si>
  <si>
    <t>2021-09-08</t>
  </si>
  <si>
    <t>2021-09-09</t>
  </si>
  <si>
    <t>2021-09-10</t>
  </si>
  <si>
    <t>2021-09-11</t>
  </si>
  <si>
    <t>2021-09-13</t>
  </si>
  <si>
    <t>2021-09-14</t>
  </si>
  <si>
    <t>2021-09-15</t>
  </si>
  <si>
    <t>2021-09-16</t>
  </si>
  <si>
    <t>2021-09-17</t>
  </si>
  <si>
    <t>2021-09-20</t>
  </si>
  <si>
    <t>2021-09-21</t>
  </si>
  <si>
    <t>2021-09-23</t>
  </si>
  <si>
    <t>2021-09-24</t>
  </si>
  <si>
    <t>2021-09-25</t>
  </si>
  <si>
    <t>Oct 21</t>
  </si>
  <si>
    <t>2021-10-01</t>
  </si>
  <si>
    <t>2021-10-02</t>
  </si>
  <si>
    <t>2021-10-05</t>
  </si>
  <si>
    <t>2021-10-06</t>
  </si>
  <si>
    <t>2021-10-07</t>
  </si>
  <si>
    <t>2021-10-08</t>
  </si>
  <si>
    <t>2021-10-09</t>
  </si>
  <si>
    <t>2021-10-11</t>
  </si>
  <si>
    <t>2021-10-12</t>
  </si>
  <si>
    <t>2021-10-13</t>
  </si>
  <si>
    <t>2021-10-14</t>
  </si>
  <si>
    <t>2021-10-15</t>
  </si>
  <si>
    <t>2021-10-16</t>
  </si>
  <si>
    <t>2021-10-18</t>
  </si>
  <si>
    <t>2021-10-19</t>
  </si>
  <si>
    <t>2021-10-20</t>
  </si>
  <si>
    <t>2021-10-21</t>
  </si>
  <si>
    <t>2021-10-22</t>
  </si>
  <si>
    <t>2021-10-23</t>
  </si>
  <si>
    <t>2021-10-25</t>
  </si>
  <si>
    <t>2021-10-26</t>
  </si>
  <si>
    <t>2021-10-27</t>
  </si>
  <si>
    <t>2021-10-28</t>
  </si>
  <si>
    <t>2021-10-29</t>
  </si>
  <si>
    <t>2021-10-30</t>
  </si>
  <si>
    <t>2021-10-31</t>
  </si>
  <si>
    <t>Nov 21</t>
  </si>
  <si>
    <t>2021-11-01</t>
  </si>
  <si>
    <t>2021-11-02</t>
  </si>
  <si>
    <t>2021-11-03</t>
  </si>
  <si>
    <t>2021-11-04</t>
  </si>
  <si>
    <t>2021-11-05</t>
  </si>
  <si>
    <t>2021-11-06</t>
  </si>
  <si>
    <t>2021-11-08</t>
  </si>
  <si>
    <t>2021-11-09</t>
  </si>
  <si>
    <t>2021-11-10</t>
  </si>
  <si>
    <t>2021-11-11</t>
  </si>
  <si>
    <t>2021-11-12</t>
  </si>
  <si>
    <t>2021-11-13</t>
  </si>
  <si>
    <t>2021-11-15</t>
  </si>
  <si>
    <t>2021-11-16</t>
  </si>
  <si>
    <t>2021-11-17</t>
  </si>
  <si>
    <t>2021-11-18</t>
  </si>
  <si>
    <t>2021-11-19</t>
  </si>
  <si>
    <t>2021-11-20</t>
  </si>
  <si>
    <t>2021-11-22</t>
  </si>
  <si>
    <t>2021-11-23</t>
  </si>
  <si>
    <t>2021-11-24</t>
  </si>
  <si>
    <t>2021-11-25</t>
  </si>
  <si>
    <t>2021-11-29</t>
  </si>
  <si>
    <t>2021-11-30</t>
  </si>
  <si>
    <t>2021-11-26</t>
  </si>
  <si>
    <t>2021-11-27</t>
  </si>
  <si>
    <t>Dec 21</t>
  </si>
  <si>
    <t>2021-12-01</t>
  </si>
  <si>
    <t>2021-12-06</t>
  </si>
  <si>
    <t>2021-12-02</t>
  </si>
  <si>
    <t>2021-12-03</t>
  </si>
  <si>
    <t>2021-12-07</t>
  </si>
  <si>
    <t>2021-12-08</t>
  </si>
  <si>
    <t>2021-12-09</t>
  </si>
  <si>
    <t>2021-12-10</t>
  </si>
  <si>
    <t>2021-12-13</t>
  </si>
  <si>
    <t>2021-12-15</t>
  </si>
  <si>
    <t>2021-12-17</t>
  </si>
  <si>
    <t>2021-12-20</t>
  </si>
  <si>
    <t>2021-12-22</t>
  </si>
  <si>
    <t>2021-12-23</t>
  </si>
  <si>
    <t>2021-12-24</t>
  </si>
  <si>
    <t>2021-12-31</t>
  </si>
  <si>
    <t>Jan 22</t>
  </si>
  <si>
    <t>2022-01-04</t>
  </si>
  <si>
    <t>2022-01-05</t>
  </si>
  <si>
    <t>2022-01-07</t>
  </si>
  <si>
    <t>2022-01-08</t>
  </si>
  <si>
    <t>2022-01-10</t>
  </si>
  <si>
    <t>2022-01-11</t>
  </si>
  <si>
    <t>2022-01-12</t>
  </si>
  <si>
    <t>2022-01-14</t>
  </si>
  <si>
    <t>2022-01-17</t>
  </si>
  <si>
    <t>2022-01-18</t>
  </si>
  <si>
    <t>2022-01-19</t>
  </si>
  <si>
    <t>2022-01-20</t>
  </si>
  <si>
    <t>2022-01-21</t>
  </si>
  <si>
    <t>2022-01-22</t>
  </si>
  <si>
    <t>2022-01-25</t>
  </si>
  <si>
    <t>2022-01-26</t>
  </si>
  <si>
    <t>2022-01-27</t>
  </si>
  <si>
    <t>2022-01-28</t>
  </si>
  <si>
    <t>2022-01-29</t>
  </si>
  <si>
    <t>2022-01-31</t>
  </si>
  <si>
    <t>Feb 22</t>
  </si>
  <si>
    <t>2022-02-05</t>
  </si>
  <si>
    <t>2022-02-01</t>
  </si>
  <si>
    <t>2022-02-02</t>
  </si>
  <si>
    <t>2022-02-03</t>
  </si>
  <si>
    <t>2022-02-07</t>
  </si>
  <si>
    <t>2022-02-08</t>
  </si>
  <si>
    <t>2022-02-09</t>
  </si>
  <si>
    <t>2022-02-10</t>
  </si>
  <si>
    <t>2022-02-11</t>
  </si>
  <si>
    <t>2022-02-12</t>
  </si>
  <si>
    <t>2022-02-14</t>
  </si>
  <si>
    <t>2022-02-15</t>
  </si>
  <si>
    <t>2022-02-16</t>
  </si>
  <si>
    <t>2022-02-17</t>
  </si>
  <si>
    <t>2022-02-18</t>
  </si>
  <si>
    <t>2022-02-21</t>
  </si>
  <si>
    <t>2022-02-22</t>
  </si>
  <si>
    <t>2022-02-23</t>
  </si>
  <si>
    <t>2022-02-24</t>
  </si>
  <si>
    <t>2022-02-25</t>
  </si>
  <si>
    <t>2022-02-26</t>
  </si>
  <si>
    <t>2022-02-28</t>
  </si>
  <si>
    <t>2022-02-04</t>
  </si>
  <si>
    <t>Mar 22</t>
  </si>
  <si>
    <t>2022-03-01</t>
  </si>
  <si>
    <t>2022-03-02</t>
  </si>
  <si>
    <t>2022-03-03</t>
  </si>
  <si>
    <t>2022-03-04</t>
  </si>
  <si>
    <t>2022-03-05</t>
  </si>
  <si>
    <t>2022-03-07</t>
  </si>
  <si>
    <t>2022-03-08</t>
  </si>
  <si>
    <t>2022-03-09</t>
  </si>
  <si>
    <t>2022-03-10</t>
  </si>
  <si>
    <t>2022-03-11</t>
  </si>
  <si>
    <t>2022-03-12</t>
  </si>
  <si>
    <t>2022-03-14</t>
  </si>
  <si>
    <t>2022-03-15</t>
  </si>
  <si>
    <t>2022-03-16</t>
  </si>
  <si>
    <t>2022-03-17</t>
  </si>
  <si>
    <t>2022-03-18</t>
  </si>
  <si>
    <t>2022-03-19</t>
  </si>
  <si>
    <t>2022-03-21</t>
  </si>
  <si>
    <t>2022-03-22</t>
  </si>
  <si>
    <t>2022-03-23</t>
  </si>
  <si>
    <t>2022-03-24</t>
  </si>
  <si>
    <t>2022-03-25</t>
  </si>
  <si>
    <t>2022-03-26</t>
  </si>
  <si>
    <t>2022-03-28</t>
  </si>
  <si>
    <t>2022-03-29</t>
  </si>
  <si>
    <t>2022-03-30</t>
  </si>
  <si>
    <t>2022-03-31</t>
  </si>
  <si>
    <t>Apr 22</t>
  </si>
  <si>
    <t>2022-04-01</t>
  </si>
  <si>
    <t>2022-04-02</t>
  </si>
  <si>
    <t>2022-04-04</t>
  </si>
  <si>
    <t>2022-04-05</t>
  </si>
  <si>
    <t>2022-04-06</t>
  </si>
  <si>
    <t>2022-04-07</t>
  </si>
  <si>
    <t>2022-04-08</t>
  </si>
  <si>
    <t>2022-04-09</t>
  </si>
  <si>
    <t>2022-04-11</t>
  </si>
  <si>
    <t>2022-04-12</t>
  </si>
  <si>
    <t>2022-04-13</t>
  </si>
  <si>
    <t>2022-04-14</t>
  </si>
  <si>
    <t>2022-04-15</t>
  </si>
  <si>
    <t>2022-04-16</t>
  </si>
  <si>
    <t>2022-04-18</t>
  </si>
  <si>
    <t>2022-04-19</t>
  </si>
  <si>
    <t>2022-04-20</t>
  </si>
  <si>
    <t>2022-04-21</t>
  </si>
  <si>
    <t>2022-04-22</t>
  </si>
  <si>
    <t>2022-04-23</t>
  </si>
  <si>
    <t>2022-04-25</t>
  </si>
  <si>
    <t>2022-04-26</t>
  </si>
  <si>
    <t>2022-04-27</t>
  </si>
  <si>
    <t>2022-04-28</t>
  </si>
  <si>
    <t>2022-04-29</t>
  </si>
  <si>
    <t>2022-04-30</t>
  </si>
  <si>
    <t>May 22</t>
  </si>
  <si>
    <t>2022-05-02</t>
  </si>
  <si>
    <t>2022-05-03</t>
  </si>
  <si>
    <t>2022-05-04</t>
  </si>
  <si>
    <t>2022-05-05</t>
  </si>
  <si>
    <t>2022-05-06</t>
  </si>
  <si>
    <t>2022-05-07</t>
  </si>
  <si>
    <t>2022-05-09</t>
  </si>
  <si>
    <t>2022-05-10</t>
  </si>
  <si>
    <t>2022-05-11</t>
  </si>
  <si>
    <t>2022-05-12</t>
  </si>
  <si>
    <t>2022-05-13</t>
  </si>
  <si>
    <t>2022-05-14</t>
  </si>
  <si>
    <t>2022-05-16</t>
  </si>
  <si>
    <t>2022-05-17</t>
  </si>
  <si>
    <t>2022-05-18</t>
  </si>
  <si>
    <t>2022-05-19</t>
  </si>
  <si>
    <t>2022-05-20</t>
  </si>
  <si>
    <t>2022-05-21</t>
  </si>
  <si>
    <t>2022-05-23</t>
  </si>
  <si>
    <t>2022-05-24</t>
  </si>
  <si>
    <t>2022-05-25</t>
  </si>
  <si>
    <t>2022-05-26</t>
  </si>
  <si>
    <t>2022-05-27</t>
  </si>
  <si>
    <t>2022-05-28</t>
  </si>
  <si>
    <t>2022-05-30</t>
  </si>
  <si>
    <t>2022-05-31</t>
  </si>
  <si>
    <t>Jun 22</t>
  </si>
  <si>
    <t>2022-06-01</t>
  </si>
  <si>
    <t>2022-06-02</t>
  </si>
  <si>
    <t>2022-06-03</t>
  </si>
  <si>
    <t>2022-06-04</t>
  </si>
  <si>
    <t>2022-06-06</t>
  </si>
  <si>
    <t>2022-06-07</t>
  </si>
  <si>
    <t>2022-06-08</t>
  </si>
  <si>
    <t>2022-06-09</t>
  </si>
  <si>
    <t>2022-06-10</t>
  </si>
  <si>
    <t>2022-06-11</t>
  </si>
  <si>
    <t>2022-06-13</t>
  </si>
  <si>
    <t>2022-06-14</t>
  </si>
  <si>
    <t>2022-06-15</t>
  </si>
  <si>
    <t>2022-06-16</t>
  </si>
  <si>
    <t>2022-06-17</t>
  </si>
  <si>
    <t>2022-06-18</t>
  </si>
  <si>
    <t>2022-06-20</t>
  </si>
  <si>
    <t>2022-06-21</t>
  </si>
  <si>
    <t>2022-06-22</t>
  </si>
  <si>
    <t>2022-06-23</t>
  </si>
  <si>
    <t>2022-06-24</t>
  </si>
  <si>
    <t>2022-06-25</t>
  </si>
  <si>
    <t>2022-06-27</t>
  </si>
  <si>
    <t>2022-06-28</t>
  </si>
  <si>
    <t>2022-06-29</t>
  </si>
  <si>
    <t>2022-06-30</t>
  </si>
  <si>
    <t>Jul 22</t>
  </si>
  <si>
    <t>2022-07-02</t>
  </si>
  <si>
    <t>2022-07-09</t>
  </si>
  <si>
    <t>2022-07-16</t>
  </si>
  <si>
    <t>2022-07-23</t>
  </si>
  <si>
    <t>2022-07-01</t>
  </si>
  <si>
    <t>2022-07-04</t>
  </si>
  <si>
    <t>2022-07-05</t>
  </si>
  <si>
    <t>2022-07-06</t>
  </si>
  <si>
    <t>2022-07-07</t>
  </si>
  <si>
    <t>2022-07-08</t>
  </si>
  <si>
    <t>2022-07-11</t>
  </si>
  <si>
    <t>2022-07-12</t>
  </si>
  <si>
    <t>2022-07-13</t>
  </si>
  <si>
    <t>2022-07-14</t>
  </si>
  <si>
    <t>2022-07-15</t>
  </si>
  <si>
    <t>2022-07-18</t>
  </si>
  <si>
    <t>2022-07-19</t>
  </si>
  <si>
    <t>2022-07-20</t>
  </si>
  <si>
    <t>2022-07-21</t>
  </si>
  <si>
    <t>2022-07-22</t>
  </si>
  <si>
    <t>2022-07-25</t>
  </si>
  <si>
    <t>2022-07-26</t>
  </si>
  <si>
    <t>2022-07-27</t>
  </si>
  <si>
    <t>2022-07-28</t>
  </si>
  <si>
    <t>2022-07-29</t>
  </si>
  <si>
    <t>2022-07-30</t>
  </si>
  <si>
    <t>Aug 22</t>
  </si>
  <si>
    <t>2022-08-01</t>
  </si>
  <si>
    <t>2022-08-02</t>
  </si>
  <si>
    <t>2022-08-03</t>
  </si>
  <si>
    <t>2022-08-04</t>
  </si>
  <si>
    <t>2022-08-05</t>
  </si>
  <si>
    <t>2022-08-06</t>
  </si>
  <si>
    <t>2022-08-08</t>
  </si>
  <si>
    <t>2022-08-09</t>
  </si>
  <si>
    <t>2022-08-10</t>
  </si>
  <si>
    <t>2022-08-11</t>
  </si>
  <si>
    <t>2022-08-12</t>
  </si>
  <si>
    <t>2022-08-13</t>
  </si>
  <si>
    <t>2022-08-15</t>
  </si>
  <si>
    <t>2022-08-16</t>
  </si>
  <si>
    <t>2022-08-17</t>
  </si>
  <si>
    <t>2022-08-18</t>
  </si>
  <si>
    <t>2022-08-19</t>
  </si>
  <si>
    <t>2022-08-20</t>
  </si>
  <si>
    <t>2022-08-22</t>
  </si>
  <si>
    <t>2022-08-23</t>
  </si>
  <si>
    <t>2022-08-24</t>
  </si>
  <si>
    <t>2022-08-25</t>
  </si>
  <si>
    <t>2022-08-26</t>
  </si>
  <si>
    <t>2022-08-27</t>
  </si>
  <si>
    <t>2022-08-29</t>
  </si>
  <si>
    <t>2022-08-30</t>
  </si>
  <si>
    <t>2022-08-31</t>
  </si>
  <si>
    <t>Sep 22</t>
  </si>
  <si>
    <t>2022-09-01</t>
  </si>
  <si>
    <t>2022-09-02</t>
  </si>
  <si>
    <t>2022-09-03</t>
  </si>
  <si>
    <t>2022-09-05</t>
  </si>
  <si>
    <t>2022-09-06</t>
  </si>
  <si>
    <t>2022-09-07</t>
  </si>
  <si>
    <t>2022-09-08</t>
  </si>
  <si>
    <t>2022-09-09</t>
  </si>
  <si>
    <t>2022-09-10</t>
  </si>
  <si>
    <t>2022-09-12</t>
  </si>
  <si>
    <t>2022-09-13</t>
  </si>
  <si>
    <t>2022-09-14</t>
  </si>
  <si>
    <t>2022-09-15</t>
  </si>
  <si>
    <t>2022-09-16</t>
  </si>
  <si>
    <t>2022-09-19</t>
  </si>
  <si>
    <t>2022-09-20</t>
  </si>
  <si>
    <t>2022-09-21</t>
  </si>
  <si>
    <t>2022-09-22</t>
  </si>
  <si>
    <t>2022-09-23</t>
  </si>
  <si>
    <t>2022-09-24</t>
  </si>
  <si>
    <t>2022-09-27</t>
  </si>
  <si>
    <t>2022-09-28</t>
  </si>
  <si>
    <t>2022-09-29</t>
  </si>
  <si>
    <t>2022-09-30</t>
  </si>
  <si>
    <t>Oct 22</t>
  </si>
  <si>
    <t>2022-10-01</t>
  </si>
  <si>
    <t>2022-10-03</t>
  </si>
  <si>
    <t>2022-10-04</t>
  </si>
  <si>
    <t>2022-10-05</t>
  </si>
  <si>
    <t>2022-10-06</t>
  </si>
  <si>
    <t>2022-10-07</t>
  </si>
  <si>
    <t>2022-10-08</t>
  </si>
  <si>
    <t>2022-10-10</t>
  </si>
  <si>
    <t>2022-10-11</t>
  </si>
  <si>
    <t>2022-10-12</t>
  </si>
  <si>
    <t>2022-10-13</t>
  </si>
  <si>
    <t>2022-10-14</t>
  </si>
  <si>
    <t>2022-10-15</t>
  </si>
  <si>
    <t>2022-10-17</t>
  </si>
  <si>
    <t>2022-10-18</t>
  </si>
  <si>
    <t>2022-10-19</t>
  </si>
  <si>
    <t>2022-10-20</t>
  </si>
  <si>
    <t>2022-10-21</t>
  </si>
  <si>
    <t>2022-10-22</t>
  </si>
  <si>
    <t>2022-10-24</t>
  </si>
  <si>
    <t>2022-10-25</t>
  </si>
  <si>
    <t>2022-10-26</t>
  </si>
  <si>
    <t>2022-10-27</t>
  </si>
  <si>
    <t>2022-10-28</t>
  </si>
  <si>
    <t>2022-10-29</t>
  </si>
  <si>
    <t>2022-10-31</t>
  </si>
  <si>
    <t>Nov 22</t>
  </si>
  <si>
    <t>2022-11-01</t>
  </si>
  <si>
    <t>2022-11-02</t>
  </si>
  <si>
    <t>2022-11-03</t>
  </si>
  <si>
    <t>2022-11-04</t>
  </si>
  <si>
    <t>2022-11-07</t>
  </si>
  <si>
    <t>2022-11-08</t>
  </si>
  <si>
    <t>2022-11-09</t>
  </si>
  <si>
    <t>2022-11-10</t>
  </si>
  <si>
    <t>2022-11-11</t>
  </si>
  <si>
    <t>2022-11-12</t>
  </si>
  <si>
    <t>2022-11-14</t>
  </si>
  <si>
    <t>2022-11-15</t>
  </si>
  <si>
    <t>2022-11-16</t>
  </si>
  <si>
    <t>2022-11-17</t>
  </si>
  <si>
    <t>2022-11-18</t>
  </si>
  <si>
    <t>2022-11-19</t>
  </si>
  <si>
    <t>2022-11-21</t>
  </si>
  <si>
    <t>2022-11-22</t>
  </si>
  <si>
    <t>2022-11-23</t>
  </si>
  <si>
    <t>2022-11-24</t>
  </si>
  <si>
    <t>2022-11-25</t>
  </si>
  <si>
    <t>2022-11-26</t>
  </si>
  <si>
    <t>2022-11-28</t>
  </si>
  <si>
    <t>2022-11-29</t>
  </si>
  <si>
    <t>2022-11-30</t>
  </si>
  <si>
    <t>Dec 22</t>
  </si>
  <si>
    <t>2022-12-01</t>
  </si>
  <si>
    <t>2022-12-02</t>
  </si>
  <si>
    <t>2022-12-03</t>
  </si>
  <si>
    <t>2022-12-05</t>
  </si>
  <si>
    <t>2022-12-06</t>
  </si>
  <si>
    <t>2022-12-07</t>
  </si>
  <si>
    <t>2022-12-08</t>
  </si>
  <si>
    <t>2022-12-09</t>
  </si>
  <si>
    <t>2022-12-10</t>
  </si>
  <si>
    <t>2022-12-12</t>
  </si>
  <si>
    <t>2022-12-13</t>
  </si>
  <si>
    <t>2022-12-14</t>
  </si>
  <si>
    <t>2022-12-15</t>
  </si>
  <si>
    <t>2022-12-16</t>
  </si>
  <si>
    <t>2022-12-17</t>
  </si>
  <si>
    <t>2022-12-19</t>
  </si>
  <si>
    <t>2022-12-20</t>
  </si>
  <si>
    <t>2022-12-21</t>
  </si>
  <si>
    <t>Jan 23</t>
  </si>
  <si>
    <t>2023-01-02</t>
  </si>
  <si>
    <t>2023-01-03</t>
  </si>
  <si>
    <t>2023-01-04</t>
  </si>
  <si>
    <t>2023-01-05</t>
  </si>
  <si>
    <t>2023-01-06</t>
  </si>
  <si>
    <t>2023-01-07</t>
  </si>
  <si>
    <t>2023-01-09</t>
  </si>
  <si>
    <t>2023-01-10</t>
  </si>
  <si>
    <t>2023-01-11</t>
  </si>
  <si>
    <t>2023-01-12</t>
  </si>
  <si>
    <t>2023-01-13</t>
  </si>
  <si>
    <t>2023-01-14</t>
  </si>
  <si>
    <t>2023-01-16</t>
  </si>
  <si>
    <t>2023-01-17</t>
  </si>
  <si>
    <t>2023-01-18</t>
  </si>
  <si>
    <t>2023-01-19</t>
  </si>
  <si>
    <t>2023-01-20</t>
  </si>
  <si>
    <t>2023-01-21</t>
  </si>
  <si>
    <t>2023-01-23</t>
  </si>
  <si>
    <t>2023-01-24</t>
  </si>
  <si>
    <t>2023-01-25</t>
  </si>
  <si>
    <t>2023-01-26</t>
  </si>
  <si>
    <t>2023-01-27</t>
  </si>
  <si>
    <t>2023-01-28</t>
  </si>
  <si>
    <t>2023-01-30</t>
  </si>
  <si>
    <t>2023-01-31</t>
  </si>
  <si>
    <t>Previous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</si>
</sst>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164" formatCode="&quot;$&quot;#,##0;\-&quot;$&quot;#,##0"/>
    <numFmt numFmtId="165" formatCode="&quot;$&quot;#,##0;[Red]\-&quot;$&quot;#,##0"/>
    <numFmt numFmtId="166" formatCode="&quot;$&quot;#,##0.00;\-&quot;$&quot;#,##0.00"/>
    <numFmt numFmtId="167" formatCode="&quot;$&quot;#,##0.00;[Red]\-&quot;$&quot;#,##0.00"/>
    <numFmt numFmtId="168" formatCode="_-&quot;$&quot;* #,##0.00_-;\-&quot;$&quot;* #,##0.00_-;_-&quot;$&quot;* &quot;-&quot;??_-;_-@_-"/>
    <numFmt numFmtId="169" formatCode="_-* #,##0.00_-;\-* #,##0.00_-;_-* &quot;-&quot;??_-;_-@_-"/>
    <numFmt numFmtId="170" formatCode="[$-409]mmm\-yy;@"/>
    <numFmt numFmtId="171" formatCode="mmm\ yyyy"/>
    <numFmt numFmtId="172" formatCode="#,##0_ ;\-#,##0\ "/>
    <numFmt numFmtId="173" formatCode="_-* #,##0_ &quot;         &quot;;\-* #,##0_ &quot;         &quot;;_-* \-_ &quot;         &quot;;_-@_ &quot;         &quot;"/>
    <numFmt numFmtId="174" formatCode="#,##0.0_ ;\-#,##0.0\ "/>
    <numFmt numFmtId="175" formatCode="_-* #,##0_ &quot;         &quot;;* \-#,##0_ &quot;         &quot;;_-* \-_ &quot;         &quot;;_-@_ &quot;         &quot;"/>
    <numFmt numFmtId="176" formatCode="_-* #,##0.0000_-;\-* #,##0.0000_-;_-* &quot;-&quot;??_-;_-@_-"/>
    <numFmt numFmtId="177" formatCode="#,##0.00_ ;[Red]\-#,##0.00\ "/>
    <numFmt numFmtId="178" formatCode="mmmm\ yyyy"/>
    <numFmt numFmtId="179" formatCode="0.0%"/>
    <numFmt numFmtId="180" formatCode="yyyy\-mm\-dd;@"/>
    <numFmt numFmtId="181" formatCode="###,###.0\ \t"/>
    <numFmt numFmtId="182" formatCode="###,###.00\ \t"/>
    <numFmt numFmtId="183" formatCode="#,##0.00_ ;\-#,##0.00\ "/>
    <numFmt numFmtId="184" formatCode="&quot;$&quot;#,##0.00"/>
    <numFmt numFmtId="185" formatCode="0.00[$%-1409]"/>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Calibri"/>
      <family val="2"/>
    </font>
    <font>
      <b/>
      <sz val="18"/>
      <color theme="3"/>
      <name val="Calibri"/>
      <family val="2"/>
    </font>
    <font>
      <b/>
      <sz val="11"/>
      <color theme="1"/>
      <name val="Calibri"/>
      <family val="2"/>
      <scheme val="minor"/>
    </font>
    <font>
      <sz val="11"/>
      <name val="Calibri"/>
      <family val="2"/>
      <scheme val="minor"/>
    </font>
    <font>
      <b/>
      <sz val="14"/>
      <name val="Calibri"/>
      <family val="2"/>
      <scheme val="minor"/>
    </font>
    <font>
      <b/>
      <sz val="11"/>
      <name val="Calibri"/>
      <family val="2"/>
      <scheme val="minor"/>
    </font>
    <font>
      <b/>
      <sz val="18"/>
      <name val="Calibri"/>
      <family val="2"/>
      <scheme val="minor"/>
    </font>
    <font>
      <sz val="22"/>
      <name val="Calibri"/>
      <family val="2"/>
      <scheme val="minor"/>
    </font>
    <font>
      <b/>
      <sz val="12"/>
      <name val="Calibri"/>
      <family val="2"/>
      <scheme val="minor"/>
    </font>
    <font>
      <b/>
      <sz val="11.5"/>
      <color indexed="54"/>
      <name val="Arial"/>
      <family val="2"/>
    </font>
    <font>
      <sz val="10"/>
      <color indexed="54"/>
      <name val="Arial"/>
      <family val="2"/>
    </font>
    <font>
      <b/>
      <sz val="11.5"/>
      <color indexed="8"/>
      <name val="Arial"/>
      <family val="2"/>
    </font>
    <font>
      <b/>
      <vertAlign val="superscript"/>
      <sz val="11.5"/>
      <color indexed="8"/>
      <name val="Arial"/>
      <family val="2"/>
    </font>
    <font>
      <b/>
      <vertAlign val="subscript"/>
      <sz val="11.5"/>
      <color indexed="8"/>
      <name val="Arial"/>
      <family val="2"/>
    </font>
    <font>
      <sz val="11"/>
      <color indexed="8"/>
      <name val="Calibri"/>
      <family val="2"/>
      <scheme val="minor"/>
    </font>
    <font>
      <b/>
      <sz val="11.5"/>
      <name val="Arial"/>
      <family val="2"/>
    </font>
    <font>
      <b/>
      <sz val="11"/>
      <name val="Arial"/>
      <family val="2"/>
    </font>
    <font>
      <b/>
      <vertAlign val="superscript"/>
      <sz val="11"/>
      <name val="Arial"/>
      <family val="2"/>
    </font>
    <font>
      <sz val="22"/>
      <color theme="1"/>
      <name val="Calibri"/>
      <family val="2"/>
      <scheme val="minor"/>
    </font>
    <font>
      <sz val="22"/>
      <color theme="0"/>
      <name val="Calibri"/>
      <family val="2"/>
      <scheme val="minor"/>
    </font>
    <font>
      <sz val="10"/>
      <color theme="0"/>
      <name val="Calibri"/>
      <family val="2"/>
    </font>
    <font>
      <sz val="10"/>
      <name val="Arial"/>
      <family val="2"/>
    </font>
    <font>
      <b/>
      <i/>
      <sz val="20"/>
      <color theme="1"/>
      <name val="Calibri"/>
      <family val="2"/>
      <scheme val="minor"/>
    </font>
    <font>
      <b/>
      <sz val="14"/>
      <color rgb="FF003D77"/>
      <name val="Calibri"/>
      <family val="2"/>
      <scheme val="minor"/>
    </font>
    <font>
      <b/>
      <sz val="10"/>
      <color theme="0"/>
      <name val="Calibri"/>
      <family val="2"/>
    </font>
    <font>
      <b/>
      <sz val="10"/>
      <color theme="7"/>
      <name val="Calibri"/>
      <family val="2"/>
      <scheme val="minor"/>
    </font>
    <font>
      <b/>
      <sz val="10"/>
      <color theme="0"/>
      <name val="Calibri"/>
      <family val="2"/>
      <scheme val="minor"/>
    </font>
    <font>
      <sz val="10"/>
      <color theme="7"/>
      <name val="Calibri"/>
      <family val="2"/>
      <scheme val="minor"/>
    </font>
    <font>
      <b/>
      <sz val="18"/>
      <color theme="7" tint="-0.499984740745262"/>
      <name val="Arial"/>
      <family val="2"/>
    </font>
    <font>
      <b/>
      <sz val="18"/>
      <color rgb="FF000000"/>
      <name val="Arial"/>
      <family val="2"/>
    </font>
    <font>
      <sz val="20"/>
      <color rgb="FF4A5C68"/>
      <name val="Calibri"/>
      <family val="2"/>
      <scheme val="minor"/>
    </font>
    <font>
      <sz val="10"/>
      <name val="Arial"/>
      <family val="2"/>
    </font>
    <font>
      <b/>
      <sz val="10"/>
      <color theme="7" tint="-0.499984740745262"/>
      <name val="Arial"/>
      <family val="2"/>
    </font>
    <font>
      <b/>
      <sz val="11"/>
      <color theme="0"/>
      <name val="Calibri"/>
      <family val="2"/>
      <scheme val="minor"/>
    </font>
    <font>
      <sz val="9"/>
      <color theme="7"/>
      <name val="Calibri"/>
      <family val="2"/>
      <scheme val="minor"/>
    </font>
    <font>
      <b/>
      <sz val="10"/>
      <color theme="8"/>
      <name val="Calibri"/>
      <family val="2"/>
      <scheme val="minor"/>
    </font>
    <font>
      <sz val="10"/>
      <color theme="8"/>
      <name val="Calibri"/>
      <family val="2"/>
      <scheme val="minor"/>
    </font>
    <font>
      <sz val="10"/>
      <name val="Calibri"/>
      <family val="2"/>
      <scheme val="minor"/>
    </font>
    <font>
      <sz val="11"/>
      <color theme="0"/>
      <name val="Calibri"/>
      <family val="2"/>
      <scheme val="minor"/>
    </font>
    <font>
      <sz val="10"/>
      <color theme="0"/>
      <name val="Arial"/>
      <family val="2"/>
    </font>
    <font>
      <b/>
      <sz val="14"/>
      <color theme="1"/>
      <name val="Calibri"/>
      <family val="2"/>
      <scheme val="minor"/>
    </font>
    <font>
      <b/>
      <sz val="10"/>
      <name val="Arial"/>
      <family val="2"/>
    </font>
    <font>
      <b/>
      <i/>
      <sz val="14"/>
      <color theme="7"/>
      <name val="Calibri"/>
      <family val="1"/>
      <charset val="2"/>
      <scheme val="minor"/>
    </font>
    <font>
      <b/>
      <sz val="14"/>
      <color theme="7"/>
      <name val="Wingdings 3"/>
      <family val="1"/>
      <charset val="2"/>
    </font>
    <font>
      <b/>
      <i/>
      <sz val="14"/>
      <color theme="7"/>
      <name val="Calibri"/>
      <family val="2"/>
      <scheme val="minor"/>
    </font>
    <font>
      <b/>
      <sz val="11"/>
      <color theme="0"/>
      <name val="Calibri"/>
      <family val="2"/>
    </font>
    <font>
      <b/>
      <vertAlign val="superscript"/>
      <sz val="11"/>
      <color theme="0"/>
      <name val="Calibri"/>
      <family val="2"/>
      <scheme val="minor"/>
    </font>
    <font>
      <sz val="10"/>
      <color indexed="8"/>
      <name val="Arial"/>
      <family val="2"/>
    </font>
    <font>
      <b/>
      <sz val="18"/>
      <color theme="0"/>
      <name val="Calibri"/>
      <family val="2"/>
      <scheme val="minor"/>
    </font>
    <font>
      <b/>
      <sz val="11"/>
      <name val="Calibri"/>
      <family val="2"/>
    </font>
    <font>
      <sz val="10"/>
      <name val="Arial"/>
      <family val="2"/>
    </font>
  </fonts>
  <fills count="42">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14999847407452621"/>
        <bgColor indexed="26"/>
      </patternFill>
    </fill>
    <fill>
      <patternFill patternType="solid">
        <fgColor theme="0"/>
        <bgColor indexed="26"/>
      </patternFill>
    </fill>
    <fill>
      <patternFill patternType="solid">
        <fgColor theme="0"/>
        <bgColor indexed="31"/>
      </patternFill>
    </fill>
    <fill>
      <patternFill patternType="solid">
        <fgColor rgb="FFFFFF00"/>
        <bgColor indexed="26"/>
      </patternFill>
    </fill>
    <fill>
      <patternFill patternType="solid">
        <fgColor theme="1" tint="0.79998168889431442"/>
        <bgColor indexed="64"/>
      </patternFill>
    </fill>
    <fill>
      <patternFill patternType="solid">
        <fgColor theme="3"/>
        <bgColor indexed="64"/>
      </patternFill>
    </fill>
    <fill>
      <patternFill patternType="solid">
        <fgColor theme="9" tint="0.39997558519241921"/>
        <bgColor indexed="64"/>
      </patternFill>
    </fill>
    <fill>
      <patternFill patternType="solid">
        <fgColor theme="5"/>
        <bgColor indexed="64"/>
      </patternFill>
    </fill>
    <fill>
      <patternFill patternType="solid">
        <fgColor theme="8" tint="-0.249977111117893"/>
        <bgColor indexed="64"/>
      </patternFill>
    </fill>
    <fill>
      <patternFill patternType="solid">
        <fgColor rgb="FFCC99FF"/>
        <bgColor indexed="64"/>
      </patternFill>
    </fill>
    <fill>
      <patternFill patternType="solid">
        <fgColor theme="5" tint="0.39997558519241921"/>
        <bgColor indexed="64"/>
      </patternFill>
    </fill>
    <fill>
      <patternFill patternType="solid">
        <fgColor theme="9"/>
        <bgColor indexed="64"/>
      </patternFill>
    </fill>
    <fill>
      <patternFill patternType="solid">
        <fgColor theme="7"/>
        <bgColor indexed="64"/>
      </patternFill>
    </fill>
    <fill>
      <patternFill patternType="solid">
        <fgColor theme="8" tint="0.79998168889431442"/>
        <bgColor indexed="64"/>
      </patternFill>
    </fill>
    <fill>
      <patternFill patternType="solid">
        <fgColor rgb="FF7030A0"/>
        <bgColor indexed="64"/>
      </patternFill>
    </fill>
  </fills>
  <borders count="5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style="medium">
        <color indexed="63"/>
      </left>
      <right style="medium">
        <color indexed="8"/>
      </right>
      <top style="medium">
        <color indexed="64"/>
      </top>
      <bottom style="medium">
        <color indexed="64"/>
      </bottom>
      <diagonal/>
    </border>
    <border>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style="medium">
        <color indexed="8"/>
      </right>
      <top/>
      <bottom style="medium">
        <color indexed="64"/>
      </bottom>
      <diagonal/>
    </border>
    <border>
      <left style="medium">
        <color indexed="63"/>
      </left>
      <right style="medium">
        <color indexed="8"/>
      </right>
      <top/>
      <bottom style="medium">
        <color indexed="64"/>
      </bottom>
      <diagonal/>
    </border>
    <border>
      <left/>
      <right style="medium">
        <color indexed="8"/>
      </right>
      <top/>
      <bottom style="medium">
        <color indexed="64"/>
      </bottom>
      <diagonal/>
    </border>
    <border>
      <left style="medium">
        <color indexed="63"/>
      </left>
      <right style="medium">
        <color indexed="64"/>
      </right>
      <top/>
      <bottom style="medium">
        <color indexed="64"/>
      </bottom>
      <diagonal/>
    </border>
    <border>
      <left/>
      <right/>
      <top style="thin">
        <color theme="2"/>
      </top>
      <bottom style="thin">
        <color theme="2"/>
      </bottom>
      <diagonal/>
    </border>
    <border>
      <left style="dotted">
        <color theme="7"/>
      </left>
      <right style="dotted">
        <color theme="7"/>
      </right>
      <top style="dotted">
        <color theme="7"/>
      </top>
      <bottom style="dotted">
        <color theme="7"/>
      </bottom>
      <diagonal/>
    </border>
    <border>
      <left style="dotted">
        <color theme="7"/>
      </left>
      <right/>
      <top style="dotted">
        <color theme="7"/>
      </top>
      <bottom style="dotted">
        <color theme="7"/>
      </bottom>
      <diagonal/>
    </border>
    <border>
      <left/>
      <right style="dotted">
        <color theme="7"/>
      </right>
      <top style="dotted">
        <color theme="7"/>
      </top>
      <bottom style="dotted">
        <color theme="7"/>
      </bottom>
      <diagonal/>
    </border>
    <border>
      <left/>
      <right style="dotted">
        <color theme="7"/>
      </right>
      <top style="dotted">
        <color theme="7"/>
      </top>
      <bottom/>
      <diagonal/>
    </border>
    <border>
      <left style="dotted">
        <color theme="7"/>
      </left>
      <right style="dotted">
        <color theme="7"/>
      </right>
      <top style="dotted">
        <color theme="7"/>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theme="2"/>
      </top>
      <bottom/>
      <diagonal/>
    </border>
    <border>
      <left style="thin">
        <color indexed="64"/>
      </left>
      <right/>
      <top/>
      <bottom style="thin">
        <color indexed="64"/>
      </bottom>
      <diagonal/>
    </border>
    <border>
      <left/>
      <right style="thin">
        <color indexed="64"/>
      </right>
      <top/>
      <bottom style="thin">
        <color indexed="64"/>
      </bottom>
      <diagonal/>
    </border>
  </borders>
  <cellStyleXfs count="68">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9" borderId="0" applyNumberFormat="0" applyBorder="0" applyAlignment="0" applyProtection="0"/>
    <xf numFmtId="0" fontId="13" fillId="3" borderId="0" applyNumberFormat="0" applyBorder="0" applyAlignment="0" applyProtection="0"/>
    <xf numFmtId="0" fontId="14" fillId="20" borderId="1" applyNumberFormat="0" applyAlignment="0" applyProtection="0"/>
    <xf numFmtId="0" fontId="15" fillId="21" borderId="2" applyNumberFormat="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0" borderId="3" applyNumberFormat="0" applyFill="0" applyAlignment="0" applyProtection="0"/>
    <xf numFmtId="0" fontId="19" fillId="0" borderId="4" applyNumberFormat="0" applyFill="0" applyAlignment="0" applyProtection="0"/>
    <xf numFmtId="0" fontId="20" fillId="0" borderId="5" applyNumberFormat="0" applyFill="0" applyAlignment="0" applyProtection="0"/>
    <xf numFmtId="0" fontId="20"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4" fillId="23" borderId="7" applyNumberFormat="0" applyFont="0" applyAlignment="0" applyProtection="0"/>
    <xf numFmtId="0" fontId="25" fillId="20" borderId="8" applyNumberForma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xf numFmtId="0" fontId="9" fillId="0" borderId="0"/>
    <xf numFmtId="0" fontId="9" fillId="0" borderId="0"/>
    <xf numFmtId="0" fontId="24" fillId="0" borderId="0"/>
    <xf numFmtId="0" fontId="31" fillId="0" borderId="0" applyNumberFormat="0" applyFill="0" applyAlignment="0" applyProtection="0"/>
    <xf numFmtId="0" fontId="8" fillId="0" borderId="0"/>
    <xf numFmtId="168" fontId="8" fillId="0" borderId="0" applyFont="0" applyFill="0" applyBorder="0" applyAlignment="0" applyProtection="0"/>
    <xf numFmtId="169" fontId="8" fillId="0" borderId="0" applyFont="0" applyFill="0" applyBorder="0" applyAlignment="0" applyProtection="0"/>
    <xf numFmtId="0" fontId="10" fillId="0" borderId="0"/>
    <xf numFmtId="9" fontId="8" fillId="0" borderId="0" applyFont="0" applyFill="0" applyBorder="0" applyAlignment="0" applyProtection="0"/>
    <xf numFmtId="0" fontId="7" fillId="0" borderId="0"/>
    <xf numFmtId="168" fontId="50" fillId="0" borderId="0" applyFont="0" applyFill="0" applyBorder="0" applyAlignment="0" applyProtection="0"/>
    <xf numFmtId="0" fontId="6" fillId="0" borderId="0"/>
    <xf numFmtId="0" fontId="5" fillId="0" borderId="0"/>
    <xf numFmtId="0" fontId="10" fillId="0" borderId="0"/>
    <xf numFmtId="0" fontId="10" fillId="0" borderId="0"/>
    <xf numFmtId="9" fontId="60" fillId="0" borderId="0" applyFont="0" applyFill="0" applyBorder="0" applyAlignment="0" applyProtection="0"/>
    <xf numFmtId="0" fontId="4" fillId="0" borderId="0"/>
    <xf numFmtId="0" fontId="3" fillId="0" borderId="0"/>
    <xf numFmtId="9" fontId="3" fillId="0" borderId="0" applyFont="0" applyFill="0" applyBorder="0" applyAlignment="0" applyProtection="0"/>
    <xf numFmtId="0" fontId="10" fillId="0" borderId="0"/>
    <xf numFmtId="168" fontId="2" fillId="0" borderId="0" applyFont="0" applyFill="0" applyBorder="0" applyAlignment="0" applyProtection="0"/>
    <xf numFmtId="169" fontId="2" fillId="0" borderId="0" applyFont="0" applyFill="0" applyBorder="0" applyAlignment="0" applyProtection="0"/>
    <xf numFmtId="0" fontId="2" fillId="0" borderId="0"/>
    <xf numFmtId="185" fontId="76" fillId="0" borderId="0">
      <alignment vertical="top"/>
    </xf>
    <xf numFmtId="185" fontId="10" fillId="0" borderId="0"/>
    <xf numFmtId="169" fontId="79" fillId="0" borderId="0" applyFont="0" applyFill="0" applyBorder="0" applyAlignment="0" applyProtection="0"/>
  </cellStyleXfs>
  <cellXfs count="239">
    <xf numFmtId="0" fontId="0" fillId="0" borderId="0" xfId="0"/>
    <xf numFmtId="0" fontId="29" fillId="0" borderId="0" xfId="44" applyFont="1"/>
    <xf numFmtId="0" fontId="8" fillId="0" borderId="0" xfId="46" applyAlignment="1">
      <alignment horizontal="left"/>
    </xf>
    <xf numFmtId="0" fontId="8" fillId="0" borderId="0" xfId="46"/>
    <xf numFmtId="0" fontId="8" fillId="24" borderId="0" xfId="46" applyFill="1"/>
    <xf numFmtId="0" fontId="32" fillId="24" borderId="0" xfId="46" applyFont="1" applyFill="1"/>
    <xf numFmtId="0" fontId="34" fillId="24" borderId="0" xfId="46" applyFont="1" applyFill="1"/>
    <xf numFmtId="0" fontId="34" fillId="25" borderId="10" xfId="46" applyFont="1" applyFill="1" applyBorder="1"/>
    <xf numFmtId="49" fontId="32" fillId="24" borderId="10" xfId="46" applyNumberFormat="1" applyFont="1" applyFill="1" applyBorder="1"/>
    <xf numFmtId="0" fontId="32" fillId="24" borderId="0" xfId="46" applyFont="1" applyFill="1" applyAlignment="1">
      <alignment vertical="top" wrapText="1"/>
    </xf>
    <xf numFmtId="0" fontId="35" fillId="24" borderId="10" xfId="46" applyFont="1" applyFill="1" applyBorder="1" applyAlignment="1">
      <alignment horizontal="center"/>
    </xf>
    <xf numFmtId="0" fontId="32" fillId="25" borderId="10" xfId="46" applyFont="1" applyFill="1" applyBorder="1"/>
    <xf numFmtId="0" fontId="32" fillId="25" borderId="10" xfId="46" applyFont="1" applyFill="1" applyBorder="1" applyAlignment="1">
      <alignment horizontal="left"/>
    </xf>
    <xf numFmtId="164" fontId="36" fillId="26" borderId="10" xfId="47" applyNumberFormat="1" applyFont="1" applyFill="1" applyBorder="1" applyAlignment="1">
      <alignment horizontal="left"/>
    </xf>
    <xf numFmtId="0" fontId="34" fillId="25" borderId="16" xfId="46" applyFont="1" applyFill="1" applyBorder="1"/>
    <xf numFmtId="172" fontId="34" fillId="25" borderId="17" xfId="46" applyNumberFormat="1" applyFont="1" applyFill="1" applyBorder="1"/>
    <xf numFmtId="0" fontId="37" fillId="27" borderId="18" xfId="46" applyFont="1" applyFill="1" applyBorder="1" applyAlignment="1">
      <alignment horizontal="left" vertical="center" wrapText="1"/>
    </xf>
    <xf numFmtId="172" fontId="32" fillId="25" borderId="19" xfId="46" applyNumberFormat="1" applyFont="1" applyFill="1" applyBorder="1"/>
    <xf numFmtId="173" fontId="10" fillId="28" borderId="0" xfId="48" applyNumberFormat="1" applyFont="1" applyFill="1" applyAlignment="1" applyProtection="1">
      <alignment horizontal="left" vertical="center"/>
      <protection locked="0"/>
    </xf>
    <xf numFmtId="173" fontId="38" fillId="28" borderId="0" xfId="48" applyNumberFormat="1" applyFont="1" applyFill="1" applyAlignment="1">
      <alignment horizontal="center" vertical="center" wrapText="1"/>
    </xf>
    <xf numFmtId="0" fontId="39" fillId="29" borderId="0" xfId="46" applyFont="1" applyFill="1" applyAlignment="1">
      <alignment vertical="center"/>
    </xf>
    <xf numFmtId="0" fontId="40" fillId="28" borderId="21" xfId="46" applyFont="1" applyFill="1" applyBorder="1" applyAlignment="1">
      <alignment horizontal="center" vertical="center" wrapText="1"/>
    </xf>
    <xf numFmtId="0" fontId="40" fillId="28" borderId="22" xfId="46" applyFont="1" applyFill="1" applyBorder="1" applyAlignment="1">
      <alignment horizontal="center" vertical="center" wrapText="1"/>
    </xf>
    <xf numFmtId="0" fontId="40" fillId="28" borderId="23" xfId="46" applyFont="1" applyFill="1" applyBorder="1" applyAlignment="1">
      <alignment horizontal="center" vertical="center" wrapText="1"/>
    </xf>
    <xf numFmtId="0" fontId="40" fillId="28" borderId="24" xfId="46" applyFont="1" applyFill="1" applyBorder="1" applyAlignment="1">
      <alignment horizontal="center" vertical="center" wrapText="1"/>
    </xf>
    <xf numFmtId="0" fontId="40" fillId="28" borderId="25" xfId="46" applyFont="1" applyFill="1" applyBorder="1" applyAlignment="1">
      <alignment horizontal="center" vertical="center" wrapText="1"/>
    </xf>
    <xf numFmtId="173" fontId="10" fillId="28" borderId="0" xfId="48" applyNumberFormat="1" applyFont="1" applyFill="1" applyAlignment="1" applyProtection="1">
      <alignment horizontal="left" vertical="center" wrapText="1"/>
      <protection locked="0"/>
    </xf>
    <xf numFmtId="0" fontId="43" fillId="27" borderId="26" xfId="49" applyFont="1" applyFill="1" applyBorder="1" applyAlignment="1">
      <alignment horizontal="left" vertical="center" wrapText="1"/>
    </xf>
    <xf numFmtId="174" fontId="43" fillId="27" borderId="27" xfId="48" applyNumberFormat="1" applyFont="1" applyFill="1" applyBorder="1" applyAlignment="1">
      <alignment horizontal="center" vertical="center" wrapText="1"/>
    </xf>
    <xf numFmtId="174" fontId="43" fillId="30" borderId="27" xfId="48" applyNumberFormat="1" applyFont="1" applyFill="1" applyBorder="1" applyAlignment="1">
      <alignment horizontal="center" vertical="center" wrapText="1"/>
    </xf>
    <xf numFmtId="173" fontId="32" fillId="27" borderId="27" xfId="48" applyNumberFormat="1" applyFont="1" applyFill="1" applyBorder="1" applyAlignment="1">
      <alignment horizontal="center" vertical="center" wrapText="1"/>
    </xf>
    <xf numFmtId="175" fontId="32" fillId="27" borderId="27" xfId="48" applyNumberFormat="1" applyFont="1" applyFill="1" applyBorder="1" applyAlignment="1">
      <alignment horizontal="center" vertical="center" wrapText="1"/>
    </xf>
    <xf numFmtId="175" fontId="32" fillId="27" borderId="17" xfId="48" applyNumberFormat="1" applyFont="1" applyFill="1" applyBorder="1" applyAlignment="1">
      <alignment horizontal="center" vertical="center" wrapText="1"/>
    </xf>
    <xf numFmtId="0" fontId="8" fillId="24" borderId="0" xfId="46" applyFill="1" applyAlignment="1">
      <alignment horizontal="left"/>
    </xf>
    <xf numFmtId="0" fontId="43" fillId="27" borderId="18" xfId="49" applyFont="1" applyFill="1" applyBorder="1" applyAlignment="1">
      <alignment horizontal="left" vertical="center" wrapText="1"/>
    </xf>
    <xf numFmtId="174" fontId="43" fillId="27" borderId="28" xfId="48" applyNumberFormat="1" applyFont="1" applyFill="1" applyBorder="1" applyAlignment="1">
      <alignment horizontal="center" vertical="center" wrapText="1"/>
    </xf>
    <xf numFmtId="174" fontId="43" fillId="30" borderId="28" xfId="48" applyNumberFormat="1" applyFont="1" applyFill="1" applyBorder="1" applyAlignment="1">
      <alignment horizontal="center" vertical="center" wrapText="1"/>
    </xf>
    <xf numFmtId="173" fontId="32" fillId="27" borderId="28" xfId="48" applyNumberFormat="1" applyFont="1" applyFill="1" applyBorder="1" applyAlignment="1">
      <alignment horizontal="center" vertical="center" wrapText="1"/>
    </xf>
    <xf numFmtId="175" fontId="32" fillId="27" borderId="28" xfId="48" applyNumberFormat="1" applyFont="1" applyFill="1" applyBorder="1" applyAlignment="1">
      <alignment horizontal="center" vertical="center" wrapText="1"/>
    </xf>
    <xf numFmtId="175" fontId="32" fillId="27" borderId="29" xfId="48" applyNumberFormat="1" applyFont="1" applyFill="1" applyBorder="1" applyAlignment="1">
      <alignment horizontal="center" vertical="center" wrapText="1"/>
    </xf>
    <xf numFmtId="173" fontId="44" fillId="27" borderId="14" xfId="48" applyNumberFormat="1" applyFont="1" applyFill="1" applyBorder="1" applyAlignment="1">
      <alignment horizontal="left" vertical="center" wrapText="1"/>
    </xf>
    <xf numFmtId="173" fontId="44" fillId="27" borderId="20" xfId="48" applyNumberFormat="1" applyFont="1" applyFill="1" applyBorder="1" applyAlignment="1">
      <alignment horizontal="left" vertical="center" wrapText="1"/>
    </xf>
    <xf numFmtId="173" fontId="44" fillId="27" borderId="15" xfId="48" applyNumberFormat="1" applyFont="1" applyFill="1" applyBorder="1" applyAlignment="1">
      <alignment horizontal="left" vertical="center" wrapText="1"/>
    </xf>
    <xf numFmtId="0" fontId="32" fillId="31" borderId="30" xfId="46" applyFont="1" applyFill="1" applyBorder="1" applyAlignment="1">
      <alignment horizontal="center"/>
    </xf>
    <xf numFmtId="0" fontId="32" fillId="31" borderId="31" xfId="46" applyFont="1" applyFill="1" applyBorder="1" applyAlignment="1">
      <alignment horizontal="center"/>
    </xf>
    <xf numFmtId="0" fontId="32" fillId="31" borderId="32" xfId="46" applyFont="1" applyFill="1" applyBorder="1" applyAlignment="1">
      <alignment horizontal="center"/>
    </xf>
    <xf numFmtId="1" fontId="32" fillId="31" borderId="18" xfId="46" applyNumberFormat="1" applyFont="1" applyFill="1" applyBorder="1" applyAlignment="1">
      <alignment horizontal="center"/>
    </xf>
    <xf numFmtId="1" fontId="32" fillId="31" borderId="33" xfId="46" applyNumberFormat="1" applyFont="1" applyFill="1" applyBorder="1" applyAlignment="1">
      <alignment horizontal="center"/>
    </xf>
    <xf numFmtId="1" fontId="32" fillId="31" borderId="19" xfId="46" applyNumberFormat="1" applyFont="1" applyFill="1" applyBorder="1" applyAlignment="1">
      <alignment horizontal="center"/>
    </xf>
    <xf numFmtId="0" fontId="40" fillId="28" borderId="15" xfId="46" applyFont="1" applyFill="1" applyBorder="1" applyAlignment="1">
      <alignment horizontal="center" vertical="center" wrapText="1"/>
    </xf>
    <xf numFmtId="0" fontId="43" fillId="28" borderId="26" xfId="49" applyFont="1" applyFill="1" applyBorder="1" applyAlignment="1">
      <alignment horizontal="left" vertical="center" wrapText="1"/>
    </xf>
    <xf numFmtId="10" fontId="32" fillId="25" borderId="10" xfId="50" applyNumberFormat="1" applyFont="1" applyFill="1" applyBorder="1"/>
    <xf numFmtId="10" fontId="32" fillId="26" borderId="34" xfId="46" applyNumberFormat="1" applyFont="1" applyFill="1" applyBorder="1"/>
    <xf numFmtId="10" fontId="8" fillId="26" borderId="34" xfId="46" applyNumberFormat="1" applyFill="1" applyBorder="1"/>
    <xf numFmtId="0" fontId="43" fillId="28" borderId="18" xfId="49" applyFont="1" applyFill="1" applyBorder="1" applyAlignment="1">
      <alignment horizontal="left" vertical="center" wrapText="1"/>
    </xf>
    <xf numFmtId="10" fontId="32" fillId="25" borderId="33" xfId="50" applyNumberFormat="1" applyFont="1" applyFill="1" applyBorder="1"/>
    <xf numFmtId="10" fontId="8" fillId="26" borderId="19" xfId="46" applyNumberFormat="1" applyFill="1" applyBorder="1"/>
    <xf numFmtId="0" fontId="40" fillId="28" borderId="36" xfId="46" applyFont="1" applyFill="1" applyBorder="1" applyAlignment="1">
      <alignment horizontal="center" vertical="center" wrapText="1"/>
    </xf>
    <xf numFmtId="0" fontId="40" fillId="28" borderId="37" xfId="46" applyFont="1" applyFill="1" applyBorder="1" applyAlignment="1">
      <alignment horizontal="center" vertical="center" wrapText="1"/>
    </xf>
    <xf numFmtId="0" fontId="40" fillId="28" borderId="38" xfId="46" applyFont="1" applyFill="1" applyBorder="1" applyAlignment="1">
      <alignment horizontal="center" vertical="center" wrapText="1"/>
    </xf>
    <xf numFmtId="0" fontId="45" fillId="28" borderId="39" xfId="46" applyFont="1" applyFill="1" applyBorder="1" applyAlignment="1">
      <alignment horizontal="center" vertical="center" wrapText="1"/>
    </xf>
    <xf numFmtId="169" fontId="32" fillId="25" borderId="10" xfId="48" applyFont="1" applyFill="1" applyBorder="1"/>
    <xf numFmtId="176" fontId="32" fillId="25" borderId="34" xfId="48" applyNumberFormat="1" applyFont="1" applyFill="1" applyBorder="1"/>
    <xf numFmtId="0" fontId="8" fillId="25" borderId="10" xfId="46" applyFill="1" applyBorder="1"/>
    <xf numFmtId="0" fontId="32" fillId="25" borderId="34" xfId="46" applyFont="1" applyFill="1" applyBorder="1"/>
    <xf numFmtId="169" fontId="32" fillId="25" borderId="33" xfId="48" applyFont="1" applyFill="1" applyBorder="1"/>
    <xf numFmtId="0" fontId="32" fillId="25" borderId="19" xfId="46" applyFont="1" applyFill="1" applyBorder="1"/>
    <xf numFmtId="0" fontId="43" fillId="28" borderId="0" xfId="49" applyFont="1" applyFill="1" applyAlignment="1">
      <alignment horizontal="left" vertical="center" wrapText="1"/>
    </xf>
    <xf numFmtId="169" fontId="32" fillId="24" borderId="0" xfId="48" applyFont="1" applyFill="1"/>
    <xf numFmtId="0" fontId="45" fillId="28" borderId="37" xfId="46" applyFont="1" applyFill="1" applyBorder="1" applyAlignment="1">
      <alignment horizontal="center" vertical="center" wrapText="1"/>
    </xf>
    <xf numFmtId="0" fontId="43" fillId="27" borderId="10" xfId="49" applyFont="1" applyFill="1" applyBorder="1" applyAlignment="1">
      <alignment horizontal="left" vertical="center" wrapText="1"/>
    </xf>
    <xf numFmtId="10" fontId="32" fillId="24" borderId="10" xfId="50" applyNumberFormat="1" applyFont="1" applyFill="1" applyBorder="1"/>
    <xf numFmtId="10" fontId="8" fillId="24" borderId="10" xfId="46" applyNumberFormat="1" applyFill="1" applyBorder="1"/>
    <xf numFmtId="10" fontId="32" fillId="25" borderId="10" xfId="46" applyNumberFormat="1" applyFont="1" applyFill="1" applyBorder="1"/>
    <xf numFmtId="10" fontId="32" fillId="24" borderId="10" xfId="46" applyNumberFormat="1" applyFont="1" applyFill="1" applyBorder="1"/>
    <xf numFmtId="0" fontId="8" fillId="24" borderId="10" xfId="46" applyFill="1" applyBorder="1"/>
    <xf numFmtId="0" fontId="47" fillId="0" borderId="0" xfId="46" applyFont="1"/>
    <xf numFmtId="0" fontId="6" fillId="0" borderId="0" xfId="53" applyAlignment="1">
      <alignment horizontal="left"/>
    </xf>
    <xf numFmtId="0" fontId="6" fillId="0" borderId="0" xfId="53"/>
    <xf numFmtId="164" fontId="47" fillId="0" borderId="0" xfId="52" applyNumberFormat="1" applyFont="1" applyAlignment="1">
      <alignment horizontal="left"/>
    </xf>
    <xf numFmtId="0" fontId="51" fillId="0" borderId="40" xfId="44" applyFont="1" applyBorder="1" applyAlignment="1">
      <alignment horizontal="left" vertical="center"/>
    </xf>
    <xf numFmtId="0" fontId="5" fillId="0" borderId="0" xfId="54"/>
    <xf numFmtId="171" fontId="5" fillId="0" borderId="0" xfId="54" applyNumberFormat="1"/>
    <xf numFmtId="0" fontId="30" fillId="0" borderId="0" xfId="44" applyFont="1" applyAlignment="1">
      <alignment horizontal="center" vertical="top"/>
    </xf>
    <xf numFmtId="0" fontId="54" fillId="34" borderId="41" xfId="0" applyFont="1" applyFill="1" applyBorder="1" applyAlignment="1">
      <alignment horizontal="center" vertical="center" wrapText="1"/>
    </xf>
    <xf numFmtId="0" fontId="55" fillId="35" borderId="41" xfId="0" applyFont="1" applyFill="1" applyBorder="1" applyAlignment="1">
      <alignment horizontal="center" vertical="center" wrapText="1"/>
    </xf>
    <xf numFmtId="0" fontId="54" fillId="33" borderId="42" xfId="0" applyFont="1" applyFill="1" applyBorder="1" applyAlignment="1">
      <alignment horizontal="center" vertical="center" wrapText="1"/>
    </xf>
    <xf numFmtId="0" fontId="57" fillId="37" borderId="10" xfId="0" applyFont="1" applyFill="1" applyBorder="1" applyAlignment="1">
      <alignment horizontal="center"/>
    </xf>
    <xf numFmtId="179" fontId="59" fillId="0" borderId="0" xfId="0" applyNumberFormat="1" applyFont="1" applyAlignment="1">
      <alignment horizontal="left" vertical="center"/>
    </xf>
    <xf numFmtId="0" fontId="51" fillId="0" borderId="40" xfId="59" applyFont="1" applyBorder="1" applyAlignment="1" applyProtection="1">
      <alignment horizontal="left" vertical="center"/>
      <protection hidden="1"/>
    </xf>
    <xf numFmtId="0" fontId="3" fillId="0" borderId="0" xfId="59"/>
    <xf numFmtId="0" fontId="62" fillId="32" borderId="0" xfId="59" applyFont="1" applyFill="1" applyProtection="1">
      <protection hidden="1"/>
    </xf>
    <xf numFmtId="0" fontId="3" fillId="0" borderId="0" xfId="59" applyProtection="1">
      <protection hidden="1"/>
    </xf>
    <xf numFmtId="0" fontId="55" fillId="32" borderId="0" xfId="59" applyFont="1" applyFill="1" applyProtection="1">
      <protection hidden="1"/>
    </xf>
    <xf numFmtId="17" fontId="55" fillId="32" borderId="0" xfId="59" applyNumberFormat="1" applyFont="1" applyFill="1" applyProtection="1">
      <protection hidden="1"/>
    </xf>
    <xf numFmtId="0" fontId="55" fillId="39" borderId="0" xfId="59" applyFont="1" applyFill="1" applyProtection="1">
      <protection hidden="1"/>
    </xf>
    <xf numFmtId="0" fontId="55" fillId="32" borderId="0" xfId="59" applyFont="1" applyFill="1" applyAlignment="1" applyProtection="1">
      <alignment horizontal="center"/>
      <protection hidden="1"/>
    </xf>
    <xf numFmtId="0" fontId="55" fillId="39" borderId="0" xfId="59" applyFont="1" applyFill="1" applyAlignment="1" applyProtection="1">
      <alignment horizontal="center"/>
      <protection hidden="1"/>
    </xf>
    <xf numFmtId="0" fontId="56" fillId="0" borderId="41" xfId="59" applyFont="1" applyBorder="1" applyProtection="1">
      <protection hidden="1"/>
    </xf>
    <xf numFmtId="0" fontId="54" fillId="34" borderId="0" xfId="59" applyFont="1" applyFill="1" applyProtection="1">
      <protection hidden="1"/>
    </xf>
    <xf numFmtId="177" fontId="54" fillId="34" borderId="0" xfId="59" applyNumberFormat="1" applyFont="1" applyFill="1" applyProtection="1">
      <protection hidden="1"/>
    </xf>
    <xf numFmtId="0" fontId="54" fillId="38" borderId="0" xfId="59" applyFont="1" applyFill="1" applyProtection="1">
      <protection hidden="1"/>
    </xf>
    <xf numFmtId="177" fontId="54" fillId="38" borderId="0" xfId="59" applyNumberFormat="1" applyFont="1" applyFill="1" applyProtection="1">
      <protection hidden="1"/>
    </xf>
    <xf numFmtId="17" fontId="55" fillId="39" borderId="0" xfId="59" quotePrefix="1" applyNumberFormat="1" applyFont="1" applyFill="1" applyProtection="1">
      <protection hidden="1"/>
    </xf>
    <xf numFmtId="177" fontId="56" fillId="0" borderId="41" xfId="59" quotePrefix="1" applyNumberFormat="1" applyFont="1" applyBorder="1" applyProtection="1">
      <protection hidden="1"/>
    </xf>
    <xf numFmtId="17" fontId="63" fillId="0" borderId="0" xfId="54" applyNumberFormat="1" applyFont="1" applyAlignment="1">
      <alignment horizontal="left"/>
    </xf>
    <xf numFmtId="178" fontId="30" fillId="0" borderId="48" xfId="0" applyNumberFormat="1" applyFont="1" applyBorder="1" applyAlignment="1">
      <alignment horizontal="left" vertical="top"/>
    </xf>
    <xf numFmtId="170" fontId="54" fillId="33" borderId="41" xfId="0" applyNumberFormat="1" applyFont="1" applyFill="1" applyBorder="1" applyAlignment="1" applyProtection="1">
      <alignment horizontal="center" vertical="center" wrapText="1"/>
      <protection hidden="1"/>
    </xf>
    <xf numFmtId="0" fontId="55" fillId="32" borderId="0" xfId="0" applyFont="1" applyFill="1" applyAlignment="1" applyProtection="1">
      <alignment horizontal="center" vertical="center"/>
      <protection hidden="1"/>
    </xf>
    <xf numFmtId="0" fontId="55" fillId="39" borderId="43" xfId="0" applyFont="1" applyFill="1" applyBorder="1" applyAlignment="1" applyProtection="1">
      <alignment horizontal="right"/>
      <protection hidden="1"/>
    </xf>
    <xf numFmtId="0" fontId="54" fillId="34" borderId="43" xfId="0" applyFont="1" applyFill="1" applyBorder="1" applyAlignment="1" applyProtection="1">
      <alignment horizontal="right"/>
      <protection hidden="1"/>
    </xf>
    <xf numFmtId="0" fontId="54" fillId="34" borderId="44" xfId="0" applyFont="1" applyFill="1" applyBorder="1" applyAlignment="1" applyProtection="1">
      <alignment horizontal="right"/>
      <protection hidden="1"/>
    </xf>
    <xf numFmtId="0" fontId="55" fillId="39" borderId="44" xfId="0" applyFont="1" applyFill="1" applyBorder="1" applyAlignment="1" applyProtection="1">
      <alignment horizontal="right"/>
      <protection hidden="1"/>
    </xf>
    <xf numFmtId="170" fontId="64" fillId="33" borderId="41" xfId="0" applyNumberFormat="1" applyFont="1" applyFill="1" applyBorder="1" applyAlignment="1" applyProtection="1">
      <alignment horizontal="center" vertical="center" wrapText="1"/>
      <protection hidden="1"/>
    </xf>
    <xf numFmtId="177" fontId="65" fillId="33" borderId="41" xfId="0" quotePrefix="1" applyNumberFormat="1" applyFont="1" applyFill="1" applyBorder="1" applyProtection="1">
      <protection hidden="1"/>
    </xf>
    <xf numFmtId="177" fontId="64" fillId="34" borderId="45" xfId="0" applyNumberFormat="1" applyFont="1" applyFill="1" applyBorder="1" applyAlignment="1" applyProtection="1">
      <alignment horizontal="right"/>
      <protection hidden="1"/>
    </xf>
    <xf numFmtId="177" fontId="64" fillId="39" borderId="45" xfId="0" applyNumberFormat="1" applyFont="1" applyFill="1" applyBorder="1" applyAlignment="1" applyProtection="1">
      <alignment horizontal="right"/>
      <protection hidden="1"/>
    </xf>
    <xf numFmtId="177" fontId="54" fillId="34" borderId="45" xfId="0" applyNumberFormat="1" applyFont="1" applyFill="1" applyBorder="1" applyAlignment="1" applyProtection="1">
      <alignment horizontal="right"/>
      <protection hidden="1"/>
    </xf>
    <xf numFmtId="177" fontId="55" fillId="39" borderId="45" xfId="0" applyNumberFormat="1" applyFont="1" applyFill="1" applyBorder="1" applyAlignment="1" applyProtection="1">
      <alignment horizontal="right"/>
      <protection hidden="1"/>
    </xf>
    <xf numFmtId="0" fontId="54" fillId="33" borderId="44" xfId="0" applyFont="1" applyFill="1" applyBorder="1" applyAlignment="1" applyProtection="1">
      <alignment horizontal="right"/>
      <protection hidden="1"/>
    </xf>
    <xf numFmtId="177" fontId="64" fillId="33" borderId="45" xfId="0" applyNumberFormat="1" applyFont="1" applyFill="1" applyBorder="1" applyAlignment="1" applyProtection="1">
      <alignment horizontal="right"/>
      <protection hidden="1"/>
    </xf>
    <xf numFmtId="177" fontId="54" fillId="33" borderId="45" xfId="0" applyNumberFormat="1" applyFont="1" applyFill="1" applyBorder="1" applyAlignment="1" applyProtection="1">
      <alignment horizontal="right"/>
      <protection hidden="1"/>
    </xf>
    <xf numFmtId="170" fontId="29" fillId="0" borderId="0" xfId="44" applyNumberFormat="1" applyFont="1"/>
    <xf numFmtId="0" fontId="66" fillId="0" borderId="0" xfId="0" applyFont="1"/>
    <xf numFmtId="0" fontId="66" fillId="0" borderId="0" xfId="0" applyFont="1" applyAlignment="1">
      <alignment horizontal="center"/>
    </xf>
    <xf numFmtId="10" fontId="29" fillId="0" borderId="0" xfId="57" applyNumberFormat="1" applyFont="1"/>
    <xf numFmtId="10" fontId="29" fillId="0" borderId="0" xfId="0" quotePrefix="1" applyNumberFormat="1" applyFont="1"/>
    <xf numFmtId="164" fontId="64" fillId="33" borderId="45" xfId="0" applyNumberFormat="1" applyFont="1" applyFill="1" applyBorder="1" applyAlignment="1" applyProtection="1">
      <alignment horizontal="right"/>
      <protection hidden="1"/>
    </xf>
    <xf numFmtId="164" fontId="64" fillId="34" borderId="45" xfId="0" applyNumberFormat="1" applyFont="1" applyFill="1" applyBorder="1" applyAlignment="1" applyProtection="1">
      <alignment horizontal="right"/>
      <protection hidden="1"/>
    </xf>
    <xf numFmtId="164" fontId="54" fillId="34" borderId="45" xfId="0" applyNumberFormat="1" applyFont="1" applyFill="1" applyBorder="1" applyAlignment="1" applyProtection="1">
      <alignment horizontal="right"/>
      <protection hidden="1"/>
    </xf>
    <xf numFmtId="164" fontId="64" fillId="39" borderId="45" xfId="0" applyNumberFormat="1" applyFont="1" applyFill="1" applyBorder="1" applyAlignment="1" applyProtection="1">
      <alignment horizontal="right"/>
      <protection hidden="1"/>
    </xf>
    <xf numFmtId="164" fontId="55" fillId="39" borderId="45" xfId="0" applyNumberFormat="1" applyFont="1" applyFill="1" applyBorder="1" applyAlignment="1" applyProtection="1">
      <alignment horizontal="right"/>
      <protection hidden="1"/>
    </xf>
    <xf numFmtId="164" fontId="65" fillId="33" borderId="41" xfId="0" quotePrefix="1" applyNumberFormat="1" applyFont="1" applyFill="1" applyBorder="1" applyProtection="1">
      <protection hidden="1"/>
    </xf>
    <xf numFmtId="164" fontId="54" fillId="34" borderId="0" xfId="59" applyNumberFormat="1" applyFont="1" applyFill="1" applyProtection="1">
      <protection hidden="1"/>
    </xf>
    <xf numFmtId="164" fontId="54" fillId="38" borderId="0" xfId="59" applyNumberFormat="1" applyFont="1" applyFill="1" applyProtection="1">
      <protection hidden="1"/>
    </xf>
    <xf numFmtId="0" fontId="67" fillId="0" borderId="0" xfId="59" applyFont="1" applyProtection="1">
      <protection hidden="1"/>
    </xf>
    <xf numFmtId="179" fontId="68" fillId="0" borderId="0" xfId="60" applyNumberFormat="1" applyFont="1" applyProtection="1">
      <protection hidden="1"/>
    </xf>
    <xf numFmtId="181" fontId="36" fillId="26" borderId="10" xfId="46" applyNumberFormat="1" applyFont="1" applyFill="1" applyBorder="1" applyAlignment="1">
      <alignment horizontal="left"/>
    </xf>
    <xf numFmtId="181" fontId="47" fillId="0" borderId="0" xfId="0" applyNumberFormat="1" applyFont="1" applyAlignment="1">
      <alignment horizontal="left"/>
    </xf>
    <xf numFmtId="3" fontId="48" fillId="0" borderId="0" xfId="46" applyNumberFormat="1" applyFont="1" applyAlignment="1">
      <alignment horizontal="center"/>
    </xf>
    <xf numFmtId="182" fontId="36" fillId="26" borderId="10" xfId="0" quotePrefix="1" applyNumberFormat="1" applyFont="1" applyFill="1" applyBorder="1" applyAlignment="1">
      <alignment horizontal="left"/>
    </xf>
    <xf numFmtId="0" fontId="51" fillId="24" borderId="40" xfId="44" applyFont="1" applyFill="1" applyBorder="1" applyAlignment="1">
      <alignment horizontal="left" vertical="center"/>
    </xf>
    <xf numFmtId="0" fontId="51" fillId="24" borderId="40" xfId="44" applyFont="1" applyFill="1" applyBorder="1" applyAlignment="1">
      <alignment horizontal="left" vertical="top"/>
    </xf>
    <xf numFmtId="166" fontId="51" fillId="24" borderId="40" xfId="44" applyNumberFormat="1" applyFont="1" applyFill="1" applyBorder="1" applyAlignment="1">
      <alignment horizontal="left" vertical="center"/>
    </xf>
    <xf numFmtId="183" fontId="51" fillId="24" borderId="40" xfId="44" applyNumberFormat="1" applyFont="1" applyFill="1" applyBorder="1" applyAlignment="1">
      <alignment horizontal="left" vertical="center"/>
    </xf>
    <xf numFmtId="170" fontId="70" fillId="36" borderId="10" xfId="56" applyNumberFormat="1" applyFont="1" applyFill="1" applyBorder="1" applyAlignment="1" applyProtection="1">
      <alignment horizontal="center"/>
      <protection locked="0"/>
    </xf>
    <xf numFmtId="170" fontId="61" fillId="40" borderId="10" xfId="56" applyNumberFormat="1" applyFont="1" applyFill="1" applyBorder="1" applyAlignment="1" applyProtection="1">
      <alignment horizontal="center"/>
      <protection locked="0"/>
    </xf>
    <xf numFmtId="0" fontId="56" fillId="0" borderId="0" xfId="0" applyFont="1" applyAlignment="1">
      <alignment horizontal="left"/>
    </xf>
    <xf numFmtId="180" fontId="56" fillId="0" borderId="0" xfId="0" applyNumberFormat="1" applyFont="1" applyAlignment="1">
      <alignment horizontal="left"/>
    </xf>
    <xf numFmtId="167" fontId="56" fillId="0" borderId="0" xfId="0" applyNumberFormat="1" applyFont="1" applyAlignment="1">
      <alignment horizontal="right"/>
    </xf>
    <xf numFmtId="4" fontId="56" fillId="0" borderId="0" xfId="0" applyNumberFormat="1" applyFont="1" applyAlignment="1">
      <alignment horizontal="right"/>
    </xf>
    <xf numFmtId="4" fontId="55" fillId="32" borderId="0" xfId="0" applyNumberFormat="1" applyFont="1" applyFill="1" applyAlignment="1">
      <alignment horizontal="center" vertical="top" wrapText="1"/>
    </xf>
    <xf numFmtId="0" fontId="55" fillId="32" borderId="0" xfId="0" applyFont="1" applyFill="1" applyAlignment="1">
      <alignment horizontal="center" vertical="top" wrapText="1"/>
    </xf>
    <xf numFmtId="0" fontId="53" fillId="32" borderId="0" xfId="55" applyFont="1" applyFill="1" applyAlignment="1">
      <alignment horizontal="center" vertical="top" wrapText="1"/>
    </xf>
    <xf numFmtId="180" fontId="55" fillId="32" borderId="0" xfId="0" applyNumberFormat="1" applyFont="1" applyFill="1" applyAlignment="1">
      <alignment horizontal="center" vertical="top" wrapText="1"/>
    </xf>
    <xf numFmtId="167" fontId="55" fillId="32" borderId="0" xfId="0" applyNumberFormat="1" applyFont="1" applyFill="1" applyAlignment="1">
      <alignment horizontal="center" vertical="top" wrapText="1"/>
    </xf>
    <xf numFmtId="0" fontId="0" fillId="0" borderId="0" xfId="0" pivotButton="1"/>
    <xf numFmtId="4" fontId="0" fillId="0" borderId="0" xfId="0" applyNumberFormat="1"/>
    <xf numFmtId="184" fontId="0" fillId="0" borderId="0" xfId="0" applyNumberFormat="1"/>
    <xf numFmtId="184" fontId="0" fillId="0" borderId="0" xfId="0" pivotButton="1" applyNumberFormat="1"/>
    <xf numFmtId="0" fontId="74" fillId="32" borderId="0" xfId="55" applyFont="1" applyFill="1" applyAlignment="1">
      <alignment horizontal="center" vertical="top" wrapText="1"/>
    </xf>
    <xf numFmtId="184" fontId="74" fillId="32" borderId="0" xfId="55" applyNumberFormat="1" applyFont="1" applyFill="1" applyAlignment="1">
      <alignment horizontal="right" vertical="top" wrapText="1"/>
    </xf>
    <xf numFmtId="0" fontId="74" fillId="32" borderId="0" xfId="55" applyFont="1" applyFill="1" applyAlignment="1">
      <alignment horizontal="right" vertical="top" wrapText="1"/>
    </xf>
    <xf numFmtId="0" fontId="32" fillId="0" borderId="0" xfId="59" applyFont="1" applyProtection="1">
      <protection hidden="1"/>
    </xf>
    <xf numFmtId="179" fontId="10" fillId="0" borderId="0" xfId="60" applyNumberFormat="1" applyFont="1" applyProtection="1">
      <protection hidden="1"/>
    </xf>
    <xf numFmtId="2" fontId="0" fillId="0" borderId="0" xfId="0" applyNumberFormat="1"/>
    <xf numFmtId="0" fontId="51" fillId="24" borderId="0" xfId="61" applyFont="1" applyFill="1" applyAlignment="1">
      <alignment horizontal="left" vertical="center"/>
    </xf>
    <xf numFmtId="184" fontId="51" fillId="24" borderId="0" xfId="61" applyNumberFormat="1" applyFont="1" applyFill="1" applyAlignment="1">
      <alignment horizontal="left" vertical="center"/>
    </xf>
    <xf numFmtId="166" fontId="51" fillId="24" borderId="0" xfId="61" applyNumberFormat="1" applyFont="1" applyFill="1" applyAlignment="1">
      <alignment horizontal="left" vertical="center"/>
    </xf>
    <xf numFmtId="170" fontId="30" fillId="24" borderId="0" xfId="61" quotePrefix="1" applyNumberFormat="1" applyFont="1" applyFill="1" applyAlignment="1">
      <alignment horizontal="center" vertical="center"/>
    </xf>
    <xf numFmtId="0" fontId="71" fillId="24" borderId="0" xfId="61" applyFont="1" applyFill="1" applyAlignment="1">
      <alignment horizontal="left" vertical="center"/>
    </xf>
    <xf numFmtId="0" fontId="0" fillId="24" borderId="0" xfId="0" applyFill="1"/>
    <xf numFmtId="184" fontId="0" fillId="24" borderId="0" xfId="0" applyNumberFormat="1" applyFill="1"/>
    <xf numFmtId="184" fontId="51" fillId="0" borderId="0" xfId="61" applyNumberFormat="1" applyFont="1" applyAlignment="1">
      <alignment horizontal="left" vertical="center"/>
    </xf>
    <xf numFmtId="0" fontId="51" fillId="0" borderId="0" xfId="61" applyFont="1" applyAlignment="1">
      <alignment horizontal="left" vertical="center"/>
    </xf>
    <xf numFmtId="0" fontId="0" fillId="0" borderId="0" xfId="0" pivotButton="1" applyAlignment="1">
      <alignment vertical="center"/>
    </xf>
    <xf numFmtId="0" fontId="0" fillId="0" borderId="0" xfId="0" applyAlignment="1">
      <alignment vertical="center"/>
    </xf>
    <xf numFmtId="179" fontId="59" fillId="0" borderId="0" xfId="0" quotePrefix="1" applyNumberFormat="1" applyFont="1" applyAlignment="1">
      <alignment horizontal="left" vertical="center"/>
    </xf>
    <xf numFmtId="0" fontId="51" fillId="0" borderId="40" xfId="44" applyFont="1" applyBorder="1" applyAlignment="1" applyProtection="1">
      <alignment vertical="center"/>
      <protection hidden="1"/>
    </xf>
    <xf numFmtId="178" fontId="30" fillId="0" borderId="48" xfId="0" applyNumberFormat="1" applyFont="1" applyBorder="1" applyAlignment="1" applyProtection="1">
      <alignment horizontal="left" vertical="top"/>
      <protection hidden="1"/>
    </xf>
    <xf numFmtId="0" fontId="30" fillId="0" borderId="0" xfId="44" applyFont="1" applyAlignment="1" applyProtection="1">
      <alignment horizontal="center" vertical="top"/>
      <protection hidden="1"/>
    </xf>
    <xf numFmtId="0" fontId="69" fillId="24" borderId="0" xfId="45" applyFont="1" applyFill="1" applyAlignment="1" applyProtection="1">
      <alignment vertical="center"/>
      <protection hidden="1"/>
    </xf>
    <xf numFmtId="0" fontId="52" fillId="24" borderId="0" xfId="45" applyFont="1" applyFill="1" applyAlignment="1" applyProtection="1">
      <alignment vertical="center"/>
      <protection hidden="1"/>
    </xf>
    <xf numFmtId="0" fontId="31" fillId="24" borderId="0" xfId="45" applyFill="1" applyAlignment="1" applyProtection="1">
      <alignment vertical="center"/>
      <protection hidden="1"/>
    </xf>
    <xf numFmtId="0" fontId="54" fillId="33" borderId="42" xfId="0" applyFont="1" applyFill="1" applyBorder="1" applyAlignment="1" applyProtection="1">
      <alignment horizontal="center" vertical="center" wrapText="1"/>
      <protection hidden="1"/>
    </xf>
    <xf numFmtId="169" fontId="56" fillId="24" borderId="45" xfId="0" quotePrefix="1" applyNumberFormat="1" applyFont="1" applyFill="1" applyBorder="1" applyAlignment="1" applyProtection="1">
      <alignment horizontal="right"/>
      <protection hidden="1"/>
    </xf>
    <xf numFmtId="169" fontId="56" fillId="24" borderId="45" xfId="0" applyNumberFormat="1" applyFont="1" applyFill="1" applyBorder="1" applyAlignment="1" applyProtection="1">
      <alignment horizontal="right"/>
      <protection hidden="1"/>
    </xf>
    <xf numFmtId="177" fontId="54" fillId="33" borderId="42" xfId="0" applyNumberFormat="1" applyFont="1" applyFill="1" applyBorder="1" applyAlignment="1" applyProtection="1">
      <alignment horizontal="right"/>
      <protection hidden="1"/>
    </xf>
    <xf numFmtId="170" fontId="54" fillId="24" borderId="0" xfId="0" applyNumberFormat="1" applyFont="1" applyFill="1" applyAlignment="1" applyProtection="1">
      <alignment horizontal="right"/>
      <protection hidden="1"/>
    </xf>
    <xf numFmtId="165" fontId="56" fillId="0" borderId="45" xfId="0" quotePrefix="1" applyNumberFormat="1" applyFont="1" applyBorder="1" applyAlignment="1" applyProtection="1">
      <alignment horizontal="right"/>
      <protection hidden="1"/>
    </xf>
    <xf numFmtId="165" fontId="56" fillId="0" borderId="45" xfId="0" applyNumberFormat="1" applyFont="1" applyBorder="1" applyAlignment="1" applyProtection="1">
      <alignment horizontal="right"/>
      <protection hidden="1"/>
    </xf>
    <xf numFmtId="164" fontId="54" fillId="33" borderId="42" xfId="0" applyNumberFormat="1" applyFont="1" applyFill="1" applyBorder="1" applyAlignment="1" applyProtection="1">
      <alignment horizontal="right"/>
      <protection hidden="1"/>
    </xf>
    <xf numFmtId="0" fontId="49" fillId="0" borderId="0" xfId="44" applyFont="1" applyProtection="1">
      <protection hidden="1"/>
    </xf>
    <xf numFmtId="2" fontId="49" fillId="0" borderId="0" xfId="44" applyNumberFormat="1" applyFont="1" applyAlignment="1" applyProtection="1">
      <alignment horizontal="center"/>
      <protection hidden="1"/>
    </xf>
    <xf numFmtId="0" fontId="29" fillId="0" borderId="0" xfId="44" applyFont="1" applyProtection="1">
      <protection hidden="1"/>
    </xf>
    <xf numFmtId="0" fontId="54" fillId="0" borderId="0" xfId="0" quotePrefix="1" applyFont="1" applyAlignment="1" applyProtection="1">
      <alignment horizontal="right" vertical="center"/>
      <protection hidden="1"/>
    </xf>
    <xf numFmtId="0" fontId="1" fillId="0" borderId="0" xfId="59" applyFont="1" applyProtection="1">
      <protection hidden="1"/>
    </xf>
    <xf numFmtId="0" fontId="1" fillId="0" borderId="0" xfId="59" applyFont="1" applyAlignment="1" applyProtection="1">
      <alignment horizontal="center"/>
      <protection hidden="1"/>
    </xf>
    <xf numFmtId="164" fontId="56" fillId="0" borderId="45" xfId="0" quotePrefix="1" applyNumberFormat="1" applyFont="1" applyBorder="1" applyAlignment="1" applyProtection="1">
      <alignment horizontal="right"/>
      <protection hidden="1"/>
    </xf>
    <xf numFmtId="0" fontId="78" fillId="0" borderId="0" xfId="0" applyFont="1" applyProtection="1">
      <protection hidden="1"/>
    </xf>
    <xf numFmtId="10" fontId="59" fillId="0" borderId="0" xfId="0" applyNumberFormat="1" applyFont="1" applyAlignment="1">
      <alignment horizontal="left" vertical="center"/>
    </xf>
    <xf numFmtId="170" fontId="30" fillId="24" borderId="48" xfId="44" quotePrefix="1" applyNumberFormat="1" applyFont="1" applyFill="1" applyBorder="1" applyAlignment="1">
      <alignment horizontal="left" vertical="top"/>
    </xf>
    <xf numFmtId="169" fontId="51" fillId="0" borderId="40" xfId="67" applyFont="1" applyBorder="1" applyAlignment="1">
      <alignment horizontal="left" vertical="center"/>
    </xf>
    <xf numFmtId="169" fontId="29" fillId="0" borderId="0" xfId="67" applyFont="1"/>
    <xf numFmtId="169" fontId="55" fillId="32" borderId="0" xfId="67" applyFont="1" applyFill="1" applyAlignment="1">
      <alignment horizontal="center" vertical="top" wrapText="1"/>
    </xf>
    <xf numFmtId="169" fontId="56" fillId="0" borderId="0" xfId="67" applyFont="1" applyAlignment="1">
      <alignment horizontal="right"/>
    </xf>
    <xf numFmtId="10" fontId="59" fillId="0" borderId="0" xfId="0" applyNumberFormat="1" applyFont="1" applyAlignment="1">
      <alignment horizontal="center" vertical="center"/>
    </xf>
    <xf numFmtId="0" fontId="1" fillId="24" borderId="0" xfId="46" applyFont="1" applyFill="1"/>
    <xf numFmtId="0" fontId="51" fillId="24" borderId="40" xfId="44" applyFont="1" applyFill="1" applyBorder="1" applyAlignment="1">
      <alignment horizontal="left" vertical="center" wrapText="1"/>
    </xf>
    <xf numFmtId="0" fontId="35" fillId="26" borderId="46" xfId="46" applyFont="1" applyFill="1" applyBorder="1" applyAlignment="1">
      <alignment horizontal="center"/>
    </xf>
    <xf numFmtId="0" fontId="35" fillId="26" borderId="47" xfId="46" applyFont="1" applyFill="1" applyBorder="1" applyAlignment="1">
      <alignment horizontal="center"/>
    </xf>
    <xf numFmtId="0" fontId="35" fillId="24" borderId="14" xfId="46" applyFont="1" applyFill="1" applyBorder="1" applyAlignment="1">
      <alignment horizontal="center"/>
    </xf>
    <xf numFmtId="0" fontId="35" fillId="24" borderId="20" xfId="46" applyFont="1" applyFill="1" applyBorder="1" applyAlignment="1">
      <alignment horizontal="center"/>
    </xf>
    <xf numFmtId="0" fontId="35" fillId="24" borderId="15" xfId="46" applyFont="1" applyFill="1" applyBorder="1" applyAlignment="1">
      <alignment horizontal="center"/>
    </xf>
    <xf numFmtId="0" fontId="8" fillId="24" borderId="15" xfId="46" applyFill="1" applyBorder="1" applyAlignment="1">
      <alignment horizontal="center"/>
    </xf>
    <xf numFmtId="0" fontId="32" fillId="24" borderId="0" xfId="46" applyFont="1" applyFill="1" applyAlignment="1">
      <alignment horizontal="left" vertical="top" wrapText="1"/>
    </xf>
    <xf numFmtId="0" fontId="34" fillId="25" borderId="10" xfId="46" applyFont="1" applyFill="1" applyBorder="1" applyAlignment="1">
      <alignment horizontal="center"/>
    </xf>
    <xf numFmtId="49" fontId="32" fillId="24" borderId="10" xfId="46" applyNumberFormat="1" applyFont="1" applyFill="1" applyBorder="1" applyAlignment="1">
      <alignment horizontal="left"/>
    </xf>
    <xf numFmtId="49" fontId="32" fillId="24" borderId="10" xfId="46" applyNumberFormat="1" applyFont="1" applyFill="1" applyBorder="1" applyAlignment="1">
      <alignment horizontal="center"/>
    </xf>
    <xf numFmtId="0" fontId="35" fillId="24" borderId="12" xfId="46" applyFont="1" applyFill="1" applyBorder="1" applyAlignment="1">
      <alignment horizontal="center"/>
    </xf>
    <xf numFmtId="0" fontId="35" fillId="24" borderId="11" xfId="46" applyFont="1" applyFill="1" applyBorder="1" applyAlignment="1">
      <alignment horizontal="center"/>
    </xf>
    <xf numFmtId="0" fontId="35" fillId="24" borderId="13" xfId="46" applyFont="1" applyFill="1" applyBorder="1" applyAlignment="1">
      <alignment horizontal="center"/>
    </xf>
    <xf numFmtId="17" fontId="35" fillId="26" borderId="10" xfId="46" quotePrefix="1" applyNumberFormat="1" applyFont="1" applyFill="1" applyBorder="1" applyAlignment="1">
      <alignment horizontal="center"/>
    </xf>
    <xf numFmtId="0" fontId="35" fillId="26" borderId="10" xfId="46" applyFont="1" applyFill="1" applyBorder="1" applyAlignment="1">
      <alignment horizontal="center"/>
    </xf>
    <xf numFmtId="0" fontId="77" fillId="41" borderId="46" xfId="46" applyFont="1" applyFill="1" applyBorder="1" applyAlignment="1">
      <alignment horizontal="center"/>
    </xf>
    <xf numFmtId="0" fontId="77" fillId="41" borderId="47" xfId="46" applyFont="1" applyFill="1" applyBorder="1" applyAlignment="1">
      <alignment horizontal="center"/>
    </xf>
    <xf numFmtId="17" fontId="35" fillId="36" borderId="46" xfId="46" quotePrefix="1" applyNumberFormat="1" applyFont="1" applyFill="1" applyBorder="1" applyAlignment="1">
      <alignment horizontal="center"/>
    </xf>
    <xf numFmtId="17" fontId="35" fillId="36" borderId="47" xfId="46" quotePrefix="1" applyNumberFormat="1" applyFont="1" applyFill="1" applyBorder="1" applyAlignment="1">
      <alignment horizontal="center"/>
    </xf>
    <xf numFmtId="170" fontId="58" fillId="26" borderId="49" xfId="56" applyNumberFormat="1" applyFont="1" applyFill="1" applyBorder="1" applyAlignment="1">
      <alignment horizontal="center"/>
    </xf>
    <xf numFmtId="170" fontId="58" fillId="26" borderId="50" xfId="56" applyNumberFormat="1" applyFont="1" applyFill="1" applyBorder="1" applyAlignment="1">
      <alignment horizontal="center"/>
    </xf>
    <xf numFmtId="0" fontId="8" fillId="24" borderId="0" xfId="46" applyFill="1" applyAlignment="1">
      <alignment horizontal="left" vertical="top" wrapText="1"/>
    </xf>
    <xf numFmtId="0" fontId="8" fillId="24" borderId="20" xfId="46" applyFill="1" applyBorder="1" applyAlignment="1">
      <alignment horizontal="center"/>
    </xf>
    <xf numFmtId="0" fontId="8" fillId="26" borderId="20" xfId="46" applyFill="1" applyBorder="1" applyAlignment="1">
      <alignment horizontal="center"/>
    </xf>
    <xf numFmtId="0" fontId="8" fillId="26" borderId="15" xfId="46" applyFill="1" applyBorder="1" applyAlignment="1">
      <alignment horizontal="center"/>
    </xf>
    <xf numFmtId="0" fontId="32" fillId="24" borderId="35" xfId="46" applyFont="1" applyFill="1" applyBorder="1" applyAlignment="1">
      <alignment horizontal="left" vertical="top" wrapText="1"/>
    </xf>
    <xf numFmtId="0" fontId="53" fillId="32" borderId="0" xfId="43" applyFont="1" applyFill="1" applyAlignment="1" applyProtection="1">
      <alignment horizontal="center" vertical="center"/>
      <protection hidden="1"/>
    </xf>
    <xf numFmtId="0" fontId="51" fillId="0" borderId="40" xfId="44" applyFont="1" applyBorder="1" applyAlignment="1" applyProtection="1">
      <alignment horizontal="left" vertical="top" wrapText="1"/>
      <protection hidden="1"/>
    </xf>
    <xf numFmtId="17" fontId="54" fillId="34" borderId="0" xfId="59" applyNumberFormat="1" applyFont="1" applyFill="1" applyAlignment="1" applyProtection="1">
      <alignment horizontal="left"/>
      <protection locked="0" hidden="1"/>
    </xf>
    <xf numFmtId="170" fontId="30" fillId="24" borderId="48" xfId="44" quotePrefix="1" applyNumberFormat="1" applyFont="1" applyFill="1" applyBorder="1" applyAlignment="1">
      <alignment horizontal="left" vertical="top"/>
    </xf>
  </cellXfs>
  <cellStyles count="6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67" builtinId="3"/>
    <cellStyle name="Comma 2" xfId="48" xr:uid="{00000000-0005-0000-0000-00001C000000}"/>
    <cellStyle name="Comma 3" xfId="63" xr:uid="{AE2F3122-7071-485D-A51D-451E4C9DE3D8}"/>
    <cellStyle name="Currency" xfId="52" builtinId="4"/>
    <cellStyle name="Currency 2" xfId="47" xr:uid="{00000000-0005-0000-0000-00001E000000}"/>
    <cellStyle name="Currency 3" xfId="62" xr:uid="{3F9A8B43-34AB-4EF4-9145-D72E65C04BB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3 2" xfId="45" xr:uid="{00000000-0005-0000-0000-000024000000}"/>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10" xfId="64" xr:uid="{0A5AA880-043A-4607-988B-F32CBEFDE6D6}"/>
    <cellStyle name="Normal 2" xfId="43" xr:uid="{00000000-0005-0000-0000-00002A000000}"/>
    <cellStyle name="Normal 2 2" xfId="49" xr:uid="{00000000-0005-0000-0000-00002B000000}"/>
    <cellStyle name="Normal 3" xfId="46" xr:uid="{00000000-0005-0000-0000-00002C000000}"/>
    <cellStyle name="Normal 3 2" xfId="42" xr:uid="{00000000-0005-0000-0000-00002D000000}"/>
    <cellStyle name="Normal 3 2 2" xfId="54" xr:uid="{00000000-0005-0000-0000-00002E000000}"/>
    <cellStyle name="Normal 3 3" xfId="55" xr:uid="{00000000-0005-0000-0000-00002F000000}"/>
    <cellStyle name="Normal 4" xfId="44" xr:uid="{00000000-0005-0000-0000-000030000000}"/>
    <cellStyle name="Normal 4 2" xfId="65" xr:uid="{B31AB989-EC25-472E-9E22-C70134A775B4}"/>
    <cellStyle name="Normal 4 3" xfId="61" xr:uid="{B438DACB-38C7-498E-8610-64A226D1E92D}"/>
    <cellStyle name="Normal 5" xfId="51" xr:uid="{00000000-0005-0000-0000-000031000000}"/>
    <cellStyle name="Normal 5 2" xfId="66" xr:uid="{631AE49A-C233-4951-A561-0122D7EC0CEB}"/>
    <cellStyle name="Normal 6" xfId="53" xr:uid="{00000000-0005-0000-0000-000032000000}"/>
    <cellStyle name="Normal 7" xfId="58" xr:uid="{008BAED4-A152-4461-BD31-F607A523B76F}"/>
    <cellStyle name="Normal 8" xfId="56" xr:uid="{00000000-0005-0000-0000-000033000000}"/>
    <cellStyle name="Normal 9" xfId="59" xr:uid="{4BAB62FA-6D58-4E2B-A974-CF4041702B50}"/>
    <cellStyle name="Note" xfId="37" builtinId="10" customBuiltin="1"/>
    <cellStyle name="Output" xfId="38" builtinId="21" customBuiltin="1"/>
    <cellStyle name="Percent" xfId="57" builtinId="5"/>
    <cellStyle name="Percent 2" xfId="50" xr:uid="{00000000-0005-0000-0000-000037000000}"/>
    <cellStyle name="Percent 3" xfId="60" xr:uid="{7656AFEA-1905-4855-B931-E7C2F26B528E}"/>
    <cellStyle name="Title" xfId="39" builtinId="15" customBuiltin="1"/>
    <cellStyle name="Total" xfId="40" builtinId="25" customBuiltin="1"/>
    <cellStyle name="Warning Text" xfId="41" builtinId="11" customBuiltin="1"/>
  </cellStyles>
  <dxfs count="25">
    <dxf>
      <font>
        <color rgb="FF9C0006"/>
      </font>
    </dxf>
    <dxf>
      <font>
        <color theme="4" tint="-0.24994659260841701"/>
      </font>
    </dxf>
    <dxf>
      <font>
        <color rgb="FF9C0006"/>
      </font>
    </dxf>
    <dxf>
      <font>
        <color theme="4" tint="-0.24994659260841701"/>
      </font>
    </dxf>
    <dxf>
      <font>
        <color rgb="FF9C0006"/>
      </font>
    </dxf>
    <dxf>
      <font>
        <color theme="4" tint="-0.24994659260841701"/>
      </font>
    </dxf>
    <dxf>
      <numFmt numFmtId="184" formatCode="&quot;$&quot;#,##0.00"/>
    </dxf>
    <dxf>
      <numFmt numFmtId="184" formatCode="&quot;$&quot;#,##0.00"/>
    </dxf>
    <dxf>
      <alignment vertical="center"/>
    </dxf>
    <dxf>
      <alignment vertical="center"/>
    </dxf>
    <dxf>
      <font>
        <b/>
        <i val="0"/>
        <color theme="0"/>
      </font>
      <fill>
        <patternFill>
          <bgColor theme="3"/>
        </patternFill>
      </fill>
    </dxf>
    <dxf>
      <font>
        <b/>
        <i val="0"/>
        <color theme="0"/>
      </font>
      <fill>
        <patternFill>
          <bgColor theme="3"/>
        </patternFill>
      </fill>
    </dxf>
    <dxf>
      <font>
        <b/>
        <i val="0"/>
      </font>
      <border>
        <top style="dotted">
          <color theme="7"/>
        </top>
        <bottom style="dotted">
          <color theme="7"/>
        </bottom>
      </border>
    </dxf>
    <dxf>
      <font>
        <b/>
        <i val="0"/>
      </font>
      <fill>
        <patternFill>
          <bgColor theme="7" tint="0.79998168889431442"/>
        </patternFill>
      </fill>
      <border>
        <top style="dotted">
          <color theme="7"/>
        </top>
        <bottom style="dotted">
          <color theme="7"/>
        </bottom>
      </border>
    </dxf>
    <dxf>
      <font>
        <b/>
        <i val="0"/>
      </font>
      <fill>
        <patternFill>
          <bgColor theme="3" tint="0.79998168889431442"/>
        </patternFill>
      </fill>
      <border>
        <top style="dotted">
          <color theme="7"/>
        </top>
        <bottom style="dotted">
          <color theme="7"/>
        </bottom>
      </border>
    </dxf>
    <dxf>
      <font>
        <b/>
        <i val="0"/>
      </font>
      <fill>
        <patternFill>
          <bgColor theme="4" tint="0.79998168889431442"/>
        </patternFill>
      </fill>
    </dxf>
    <dxf>
      <font>
        <b/>
        <i val="0"/>
        <color theme="0"/>
      </font>
      <fill>
        <patternFill>
          <bgColor theme="3"/>
        </patternFill>
      </fill>
    </dxf>
    <dxf>
      <font>
        <color theme="7"/>
      </font>
    </dxf>
    <dxf>
      <font>
        <b/>
        <i val="0"/>
        <color theme="0"/>
      </font>
      <fill>
        <patternFill>
          <bgColor rgb="FF0085CA"/>
        </patternFill>
      </fill>
    </dxf>
    <dxf>
      <font>
        <b/>
        <i val="0"/>
        <color theme="0"/>
      </font>
      <fill>
        <patternFill>
          <bgColor rgb="FF0085CA"/>
        </patternFill>
      </fill>
    </dxf>
    <dxf>
      <font>
        <b/>
        <i val="0"/>
        <color theme="7"/>
      </font>
      <border>
        <left style="hair">
          <color auto="1"/>
        </left>
        <top style="hair">
          <color auto="1"/>
        </top>
        <bottom style="hair">
          <color auto="1"/>
        </bottom>
      </border>
    </dxf>
    <dxf>
      <font>
        <b/>
        <i val="0"/>
        <color theme="7"/>
      </font>
      <fill>
        <patternFill>
          <bgColor theme="9"/>
        </patternFill>
      </fill>
      <border>
        <top style="hair">
          <color auto="1"/>
        </top>
        <bottom style="hair">
          <color auto="1"/>
        </bottom>
      </border>
    </dxf>
    <dxf>
      <font>
        <b/>
        <i val="0"/>
        <color theme="7"/>
      </font>
      <fill>
        <patternFill>
          <bgColor theme="5" tint="0.59996337778862885"/>
        </patternFill>
      </fill>
      <border>
        <top style="hair">
          <color auto="1"/>
        </top>
        <bottom style="hair">
          <color auto="1"/>
        </bottom>
      </border>
    </dxf>
    <dxf>
      <font>
        <b/>
        <i val="0"/>
        <color theme="0"/>
      </font>
      <fill>
        <patternFill>
          <bgColor rgb="FF0085CA"/>
        </patternFill>
      </fill>
    </dxf>
    <dxf>
      <font>
        <b val="0"/>
        <i val="0"/>
        <color theme="7"/>
      </font>
    </dxf>
  </dxfs>
  <tableStyles count="2" defaultTableStyle="TableStyleMedium2" defaultPivotStyle="PivotStyleLight16">
    <tableStyle name="Databank" table="0" count="7" xr9:uid="{3EA3BAF5-1A9B-4671-B4F4-8DDAC398C3D7}">
      <tableStyleElement type="wholeTable" dxfId="24"/>
      <tableStyleElement type="headerRow" dxfId="23"/>
      <tableStyleElement type="totalRow" dxfId="22"/>
      <tableStyleElement type="firstSubtotalRow" dxfId="21"/>
      <tableStyleElement type="thirdSubtotalRow" dxfId="20"/>
      <tableStyleElement type="pageFieldLabels" dxfId="19"/>
      <tableStyleElement type="pageFieldValues" dxfId="18"/>
    </tableStyle>
    <tableStyle name="Trans Data tab" table="0" count="8" xr9:uid="{19232ADA-F2A0-48F8-96FF-76333894847C}">
      <tableStyleElement type="wholeTable" dxfId="17"/>
      <tableStyleElement type="headerRow" dxfId="16"/>
      <tableStyleElement type="totalRow" dxfId="15"/>
      <tableStyleElement type="firstSubtotalRow" dxfId="14"/>
      <tableStyleElement type="secondSubtotalRow" dxfId="13"/>
      <tableStyleElement type="thirdSubtotalRow" dxfId="12"/>
      <tableStyleElement type="pageFieldLabels" dxfId="11"/>
      <tableStyleElement type="pageFieldValues" dxfId="10"/>
    </tableStyle>
  </tableStyles>
  <colors>
    <mruColors>
      <color rgb="FFCC99FF"/>
      <color rgb="FF227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1.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SPEND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680182253544642"/>
          <c:y val="0.16094706269100498"/>
          <c:w val="0.87267961022956353"/>
          <c:h val="0.51225495881545846"/>
        </c:manualLayout>
      </c:layout>
      <c:barChart>
        <c:barDir val="col"/>
        <c:grouping val="stacked"/>
        <c:varyColors val="0"/>
        <c:ser>
          <c:idx val="1"/>
          <c:order val="0"/>
          <c:tx>
            <c:strRef>
              <c:f>'FYTD Tonnage vs Spend'!$R$35</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'[3]Mid Market - YTD Data'!#REF!</c:f>
              <c:strCache>
                <c:ptCount val="1"/>
                <c:pt idx="0">
                  <c:v>#REF!</c:v>
                </c:pt>
              </c:strCache>
            </c:strRef>
          </c:cat>
          <c:val>
            <c:numRef>
              <c:f>'FYTD Tonnage vs Spend'!$R$36:$R$47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2BF-4059-B811-8F4BCD03C9DA}"/>
            </c:ext>
          </c:extLst>
        </c:ser>
        <c:ser>
          <c:idx val="0"/>
          <c:order val="1"/>
          <c:tx>
            <c:strRef>
              <c:f>'FYTD Tonnage vs Spend'!$S$35</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strRef>
              <c:f>'[3]Mid Market - YTD Data'!#REF!</c:f>
              <c:strCache>
                <c:ptCount val="1"/>
                <c:pt idx="0">
                  <c:v>#REF!</c:v>
                </c:pt>
              </c:strCache>
            </c:strRef>
          </c:cat>
          <c:val>
            <c:numRef>
              <c:f>'FYTD Tonnage vs Spend'!$S$36:$S$47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2BF-4059-B811-8F4BCD03C9DA}"/>
            </c:ext>
          </c:extLst>
        </c:ser>
        <c:dLbls>
          <c:showLegendKey val="0"/>
          <c:showVal val="0"/>
          <c:showCatName val="0"/>
          <c:showSerName val="0"/>
          <c:showPercent val="0"/>
          <c:showBubbleSize val="0"/>
        </c:dLbls>
        <c:gapWidth val="49"/>
        <c:overlap val="100"/>
        <c:axId val="523557184"/>
        <c:axId val="523557576"/>
      </c:barChart>
      <c:lineChart>
        <c:grouping val="stacked"/>
        <c:varyColors val="0"/>
        <c:ser>
          <c:idx val="2"/>
          <c:order val="2"/>
          <c:tx>
            <c:strRef>
              <c:f>'FYTD Tonnage vs Spend'!$T$5</c:f>
              <c:strCache>
                <c:ptCount val="1"/>
                <c:pt idx="0">
                  <c:v>Diversion Trend</c:v>
                </c:pt>
              </c:strCache>
            </c:strRef>
          </c:tx>
          <c:spPr>
            <a:ln w="34925" cap="rnd">
              <a:solidFill>
                <a:srgbClr val="00587C"/>
              </a:solidFill>
              <a:round/>
            </a:ln>
            <a:effectLst>
              <a:outerShdw blurRad="40000" dist="23000" dir="5400000" rotWithShape="0">
                <a:srgbClr val="000000">
                  <a:alpha val="35000"/>
                </a:srgbClr>
              </a:outerShdw>
            </a:effectLst>
          </c:spPr>
          <c:marker>
            <c:symbol val="none"/>
          </c:marker>
          <c:cat>
            <c:numRef>
              <c:f>'FYTD Tonnage vs Spend'!$Q$36:$Q$47</c:f>
              <c:numCache>
                <c:formatCode>[$-409]mmm\-yy;@</c:formatCode>
                <c:ptCount val="12"/>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numCache>
            </c:numRef>
          </c:cat>
          <c:val>
            <c:numRef>
              <c:f>'FYTD Tonnage vs Spend'!$T$36:$T$47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2-62BF-4059-B811-8F4BCD03C9DA}"/>
            </c:ext>
          </c:extLst>
        </c:ser>
        <c:dLbls>
          <c:showLegendKey val="0"/>
          <c:showVal val="0"/>
          <c:showCatName val="0"/>
          <c:showSerName val="0"/>
          <c:showPercent val="0"/>
          <c:showBubbleSize val="0"/>
        </c:dLbls>
        <c:marker val="1"/>
        <c:smooth val="0"/>
        <c:axId val="523557184"/>
        <c:axId val="523557576"/>
      </c:lineChart>
      <c:catAx>
        <c:axId val="52355718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Algn val="ctr"/>
        <c:lblOffset val="100"/>
        <c:noMultiLvlLbl val="1"/>
      </c:cat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Tonnage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42712527142044"/>
          <c:y val="0.17675010018741646"/>
          <c:w val="0.87267961022956353"/>
          <c:h val="0.53975850633160471"/>
        </c:manualLayout>
      </c:layout>
      <c:barChart>
        <c:barDir val="col"/>
        <c:grouping val="stacked"/>
        <c:varyColors val="0"/>
        <c:ser>
          <c:idx val="1"/>
          <c:order val="0"/>
          <c:tx>
            <c:strRef>
              <c:f>'FYTD Tonnage vs Spend'!$R$5</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'FYTD Tonnage vs Spend'!$Q$6:$Q$17</c:f>
              <c:numCache>
                <c:formatCode>[$-409]mmm\-yy;@</c:formatCode>
                <c:ptCount val="12"/>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numCache>
            </c:numRef>
          </c:cat>
          <c:val>
            <c:numRef>
              <c:f>'FYTD Tonnage vs Spend'!$R$6:$R$17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1DB8-4540-8D0E-F898926E8317}"/>
            </c:ext>
          </c:extLst>
        </c:ser>
        <c:ser>
          <c:idx val="0"/>
          <c:order val="1"/>
          <c:tx>
            <c:strRef>
              <c:f>'FYTD Tonnage vs Spend'!$S$5</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numRef>
              <c:f>'FYTD Tonnage vs Spend'!$Q$6:$Q$17</c:f>
              <c:numCache>
                <c:formatCode>[$-409]mmm\-yy;@</c:formatCode>
                <c:ptCount val="12"/>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numCache>
            </c:numRef>
          </c:cat>
          <c:val>
            <c:numRef>
              <c:f>'FYTD Tonnage vs Spend'!$S$6:$S$17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1DB8-4540-8D0E-F898926E8317}"/>
            </c:ext>
          </c:extLst>
        </c:ser>
        <c:dLbls>
          <c:showLegendKey val="0"/>
          <c:showVal val="0"/>
          <c:showCatName val="0"/>
          <c:showSerName val="0"/>
          <c:showPercent val="0"/>
          <c:showBubbleSize val="0"/>
        </c:dLbls>
        <c:gapWidth val="49"/>
        <c:overlap val="100"/>
        <c:axId val="523557184"/>
        <c:axId val="523557576"/>
      </c:barChart>
      <c:dateAx>
        <c:axId val="523557184"/>
        <c:scaling>
          <c:orientation val="minMax"/>
        </c:scaling>
        <c:delete val="0"/>
        <c:axPos val="b"/>
        <c:numFmt formatCode="[$-409]mmm\-yy;@"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Offset val="100"/>
        <c:baseTimeUnit val="months"/>
      </c:date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WEIGHT by Waste Stream</a:t>
            </a:r>
          </a:p>
        </c:rich>
      </c:tx>
      <c:layout>
        <c:manualLayout>
          <c:xMode val="edge"/>
          <c:yMode val="edge"/>
          <c:x val="0.16054483895832722"/>
          <c:y val="5.12571174504826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363160887687934E-2"/>
          <c:y val="0.25139494453882677"/>
          <c:w val="0.9370008717059054"/>
          <c:h val="0.6293166524685504"/>
        </c:manualLayout>
      </c:layout>
      <c:pie3DChart>
        <c:varyColors val="1"/>
        <c:ser>
          <c:idx val="0"/>
          <c:order val="0"/>
          <c:tx>
            <c:strRef>
              <c:f>'Waste Summary'!$G$7</c:f>
              <c:strCache>
                <c:ptCount val="1"/>
                <c:pt idx="0">
                  <c:v>Weight (t)</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BCA-4280-AC8F-1E2E0AE000B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BCA-4280-AC8F-1E2E0AE000B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BCA-4280-AC8F-1E2E0AE000B0}"/>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BBCA-4280-AC8F-1E2E0AE000B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BCA-4280-AC8F-1E2E0AE000B0}"/>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BCA-4280-AC8F-1E2E0AE000B0}"/>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BCA-4280-AC8F-1E2E0AE000B0}"/>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BCA-4280-AC8F-1E2E0AE000B0}"/>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BCA-4280-AC8F-1E2E0AE000B0}"/>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BCA-4280-AC8F-1E2E0AE000B0}"/>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BCA-4280-AC8F-1E2E0AE000B0}"/>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BCA-4280-AC8F-1E2E0AE000B0}"/>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BCA-4280-AC8F-1E2E0AE000B0}"/>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BCA-4280-AC8F-1E2E0AE000B0}"/>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BCA-4280-AC8F-1E2E0AE000B0}"/>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BCA-4280-AC8F-1E2E0AE000B0}"/>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BCA-4280-AC8F-1E2E0AE000B0}"/>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BCA-4280-AC8F-1E2E0AE000B0}"/>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BCA-4280-AC8F-1E2E0AE000B0}"/>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BCA-4280-AC8F-1E2E0AE000B0}"/>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BCA-4280-AC8F-1E2E0AE000B0}"/>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BCA-4280-AC8F-1E2E0AE000B0}"/>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BBCA-4280-AC8F-1E2E0AE000B0}"/>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BBCA-4280-AC8F-1E2E0AE000B0}"/>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BBCA-4280-AC8F-1E2E0AE000B0}"/>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BBCA-4280-AC8F-1E2E0AE000B0}"/>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BBCA-4280-AC8F-1E2E0AE000B0}"/>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BBCA-4280-AC8F-1E2E0AE000B0}"/>
              </c:ext>
            </c:extLst>
          </c:dPt>
          <c:dLbls>
            <c:dLbl>
              <c:idx val="0"/>
              <c:layout>
                <c:manualLayout>
                  <c:x val="-5.4917321723816089E-2"/>
                  <c:y val="-4.281553813868030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BCA-4280-AC8F-1E2E0AE000B0}"/>
                </c:ext>
              </c:extLst>
            </c:dLbl>
            <c:dLbl>
              <c:idx val="1"/>
              <c:layout>
                <c:manualLayout>
                  <c:x val="-0.14874571905277648"/>
                  <c:y val="-9.149022321671746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BCA-4280-AC8F-1E2E0AE000B0}"/>
                </c:ext>
              </c:extLst>
            </c:dLbl>
            <c:dLbl>
              <c:idx val="2"/>
              <c:layout>
                <c:manualLayout>
                  <c:x val="3.3269131644728209E-2"/>
                  <c:y val="-7.790933844698462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BCA-4280-AC8F-1E2E0AE000B0}"/>
                </c:ext>
              </c:extLst>
            </c:dLbl>
            <c:dLbl>
              <c:idx val="3"/>
              <c:layout>
                <c:manualLayout>
                  <c:x val="0.15934585529321202"/>
                  <c:y val="-1.923888605823960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BCA-4280-AC8F-1E2E0AE000B0}"/>
                </c:ext>
              </c:extLst>
            </c:dLbl>
            <c:dLbl>
              <c:idx val="4"/>
              <c:layout>
                <c:manualLayout>
                  <c:x val="0.20494414034676875"/>
                  <c:y val="-2.52073060159599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BBCA-4280-AC8F-1E2E0AE000B0}"/>
                </c:ext>
              </c:extLst>
            </c:dLbl>
            <c:dLbl>
              <c:idx val="5"/>
              <c:layout>
                <c:manualLayout>
                  <c:x val="8.9946042989979227E-2"/>
                  <c:y val="6.399807660159544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BCA-4280-AC8F-1E2E0AE000B0}"/>
                </c:ext>
              </c:extLst>
            </c:dLbl>
            <c:dLbl>
              <c:idx val="6"/>
              <c:layout>
                <c:manualLayout>
                  <c:x val="3.2489421603064006E-2"/>
                  <c:y val="9.2643582166259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BCA-4280-AC8F-1E2E0AE000B0}"/>
                </c:ext>
              </c:extLst>
            </c:dLbl>
            <c:dLbl>
              <c:idx val="7"/>
              <c:layout>
                <c:manualLayout>
                  <c:x val="-4.8261751682419474E-2"/>
                  <c:y val="4.6999871514840034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BBCA-4280-AC8F-1E2E0AE000B0}"/>
                </c:ext>
              </c:extLst>
            </c:dLbl>
            <c:dLbl>
              <c:idx val="8"/>
              <c:layout>
                <c:manualLayout>
                  <c:x val="-2.2327561494800505E-2"/>
                  <c:y val="9.029140032095429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BBCA-4280-AC8F-1E2E0AE000B0}"/>
                </c:ext>
              </c:extLst>
            </c:dLbl>
            <c:dLbl>
              <c:idx val="9"/>
              <c:layout>
                <c:manualLayout>
                  <c:x val="-6.5878132838720349E-2"/>
                  <c:y val="4.61603005761009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BBCA-4280-AC8F-1E2E0AE000B0}"/>
                </c:ext>
              </c:extLst>
            </c:dLbl>
            <c:dLbl>
              <c:idx val="13"/>
              <c:layout>
                <c:manualLayout>
                  <c:x val="5.5936190947336428E-2"/>
                  <c:y val="-0.131449098462460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BBCA-4280-AC8F-1E2E0AE000B0}"/>
                </c:ext>
              </c:extLst>
            </c:dLbl>
            <c:dLbl>
              <c:idx val="16"/>
              <c:layout>
                <c:manualLayout>
                  <c:x val="1.3163150004517118E-2"/>
                  <c:y val="-6.170628292432223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BBCA-4280-AC8F-1E2E0AE000B0}"/>
                </c:ext>
              </c:extLst>
            </c:dLbl>
            <c:dLbl>
              <c:idx val="19"/>
              <c:layout>
                <c:manualLayout>
                  <c:x val="0.10316231272190056"/>
                  <c:y val="-3.782624523534198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BBCA-4280-AC8F-1E2E0AE000B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Summary'!$A$8:$A$35</c:f>
              <c:strCache>
                <c:ptCount val="15"/>
                <c:pt idx="0">
                  <c:v>General</c:v>
                </c:pt>
                <c:pt idx="1">
                  <c:v>0</c:v>
                </c:pt>
                <c:pt idx="2">
                  <c:v>0</c:v>
                </c:pt>
                <c:pt idx="3">
                  <c:v>0</c:v>
                </c:pt>
                <c:pt idx="4">
                  <c:v>0</c:v>
                </c:pt>
                <c:pt idx="5">
                  <c:v>Recycle</c:v>
                </c:pt>
                <c:pt idx="6">
                  <c:v>Confidential</c:v>
                </c:pt>
                <c:pt idx="7">
                  <c:v>Commingle</c:v>
                </c:pt>
                <c:pt idx="8">
                  <c:v>Timber</c:v>
                </c:pt>
                <c:pt idx="9">
                  <c:v>Liquids</c:v>
                </c:pt>
                <c:pt idx="10">
                  <c:v>Glass</c:v>
                </c:pt>
                <c:pt idx="11">
                  <c:v>Gun Washer</c:v>
                </c:pt>
                <c:pt idx="12">
                  <c:v>Paper</c:v>
                </c:pt>
                <c:pt idx="13">
                  <c:v>Fee's/Charges</c:v>
                </c:pt>
                <c:pt idx="14">
                  <c:v>0</c:v>
                </c:pt>
              </c:strCache>
            </c:strRef>
          </c:cat>
          <c:val>
            <c:numRef>
              <c:f>'Waste Summary'!$G$8:$G$35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BBCA-4280-AC8F-1E2E0AE000B0}"/>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SPEND by Waste Stream</a:t>
            </a:r>
          </a:p>
        </c:rich>
      </c:tx>
      <c:layout>
        <c:manualLayout>
          <c:xMode val="edge"/>
          <c:yMode val="edge"/>
          <c:x val="0.17923029065811216"/>
          <c:y val="4.05292846681457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941873865449354E-2"/>
          <c:y val="0.22149849254823528"/>
          <c:w val="0.91441027028832278"/>
          <c:h val="0.64406121000766137"/>
        </c:manualLayout>
      </c:layout>
      <c:pie3DChart>
        <c:varyColors val="1"/>
        <c:ser>
          <c:idx val="0"/>
          <c:order val="0"/>
          <c:tx>
            <c:strRef>
              <c:f>'Waste Summary'!$F$7</c:f>
              <c:strCache>
                <c:ptCount val="1"/>
                <c:pt idx="0">
                  <c:v>Spend</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9C-45DE-A7F0-8527F74000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9C-45DE-A7F0-8527F74000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9C-45DE-A7F0-8527F740005C}"/>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9C-45DE-A7F0-8527F74000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9C-45DE-A7F0-8527F740005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9C-45DE-A7F0-8527F740005C}"/>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9C-45DE-A7F0-8527F740005C}"/>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AD9C-45DE-A7F0-8527F740005C}"/>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AD9C-45DE-A7F0-8527F740005C}"/>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AD9C-45DE-A7F0-8527F740005C}"/>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AD9C-45DE-A7F0-8527F740005C}"/>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AD9C-45DE-A7F0-8527F740005C}"/>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AD9C-45DE-A7F0-8527F740005C}"/>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AD9C-45DE-A7F0-8527F740005C}"/>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AD9C-45DE-A7F0-8527F740005C}"/>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AD9C-45DE-A7F0-8527F740005C}"/>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AD9C-45DE-A7F0-8527F740005C}"/>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AD9C-45DE-A7F0-8527F740005C}"/>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AD9C-45DE-A7F0-8527F740005C}"/>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AD9C-45DE-A7F0-8527F740005C}"/>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AD9C-45DE-A7F0-8527F740005C}"/>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AD9C-45DE-A7F0-8527F740005C}"/>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AD9C-45DE-A7F0-8527F740005C}"/>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AD9C-45DE-A7F0-8527F740005C}"/>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AD9C-45DE-A7F0-8527F740005C}"/>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AD9C-45DE-A7F0-8527F740005C}"/>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AD9C-45DE-A7F0-8527F740005C}"/>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AD9C-45DE-A7F0-8527F740005C}"/>
              </c:ext>
            </c:extLst>
          </c:dPt>
          <c:dLbls>
            <c:dLbl>
              <c:idx val="0"/>
              <c:layout>
                <c:manualLayout>
                  <c:x val="-2.890042432437654E-2"/>
                  <c:y val="7.498986671163546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D9C-45DE-A7F0-8527F740005C}"/>
                </c:ext>
              </c:extLst>
            </c:dLbl>
            <c:dLbl>
              <c:idx val="1"/>
              <c:layout>
                <c:manualLayout>
                  <c:x val="-0.12594060716740227"/>
                  <c:y val="6.77702078731352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D9C-45DE-A7F0-8527F740005C}"/>
                </c:ext>
              </c:extLst>
            </c:dLbl>
            <c:dLbl>
              <c:idx val="2"/>
              <c:layout>
                <c:manualLayout>
                  <c:x val="6.7228738256305104E-4"/>
                  <c:y val="1.62769402249440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D9C-45DE-A7F0-8527F740005C}"/>
                </c:ext>
              </c:extLst>
            </c:dLbl>
            <c:dLbl>
              <c:idx val="3"/>
              <c:layout>
                <c:manualLayout>
                  <c:x val="9.5196596538999936E-2"/>
                  <c:y val="1.466353361013324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AD9C-45DE-A7F0-8527F740005C}"/>
                </c:ext>
              </c:extLst>
            </c:dLbl>
            <c:dLbl>
              <c:idx val="4"/>
              <c:layout>
                <c:manualLayout>
                  <c:x val="7.4275111899398593E-3"/>
                  <c:y val="6.546275318277444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AD9C-45DE-A7F0-8527F740005C}"/>
                </c:ext>
              </c:extLst>
            </c:dLbl>
            <c:dLbl>
              <c:idx val="6"/>
              <c:layout>
                <c:manualLayout>
                  <c:x val="-0.13740781321043966"/>
                  <c:y val="6.177402827769326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AD9C-45DE-A7F0-8527F740005C}"/>
                </c:ext>
              </c:extLst>
            </c:dLbl>
            <c:dLbl>
              <c:idx val="7"/>
              <c:layout>
                <c:manualLayout>
                  <c:x val="3.5935555651071267E-2"/>
                  <c:y val="-4.49715455378556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AD9C-45DE-A7F0-8527F740005C}"/>
                </c:ext>
              </c:extLst>
            </c:dLbl>
            <c:dLbl>
              <c:idx val="8"/>
              <c:layout>
                <c:manualLayout>
                  <c:x val="0.11221195461632663"/>
                  <c:y val="-1.870719259748270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AD9C-45DE-A7F0-8527F740005C}"/>
                </c:ext>
              </c:extLst>
            </c:dLbl>
            <c:dLbl>
              <c:idx val="9"/>
              <c:layout>
                <c:manualLayout>
                  <c:x val="6.6318187420690969E-2"/>
                  <c:y val="-1.4460985603311613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AD9C-45DE-A7F0-8527F740005C}"/>
                </c:ext>
              </c:extLst>
            </c:dLbl>
            <c:dLbl>
              <c:idx val="13"/>
              <c:layout>
                <c:manualLayout>
                  <c:x val="-6.8246839282855479E-2"/>
                  <c:y val="3.101033536532937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AD9C-45DE-A7F0-8527F740005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Summary'!$A$8:$A$13</c:f>
              <c:strCache>
                <c:ptCount val="6"/>
                <c:pt idx="0">
                  <c:v>General</c:v>
                </c:pt>
                <c:pt idx="1">
                  <c:v>0</c:v>
                </c:pt>
                <c:pt idx="2">
                  <c:v>0</c:v>
                </c:pt>
                <c:pt idx="3">
                  <c:v>0</c:v>
                </c:pt>
                <c:pt idx="4">
                  <c:v>0</c:v>
                </c:pt>
                <c:pt idx="5">
                  <c:v>Recycle</c:v>
                </c:pt>
              </c:strCache>
            </c:strRef>
          </c:cat>
          <c:val>
            <c:numRef>
              <c:f>'Waste Summary'!$F$8:$F$35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AD9C-45DE-A7F0-8527F740005C}"/>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WEIGHT by Waste Stream</a:t>
            </a:r>
          </a:p>
        </c:rich>
      </c:tx>
      <c:layout>
        <c:manualLayout>
          <c:xMode val="edge"/>
          <c:yMode val="edge"/>
          <c:x val="0.16054483895832722"/>
          <c:y val="5.12571174504826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363160887687934E-2"/>
          <c:y val="0.25139494453882677"/>
          <c:w val="0.9370008717059054"/>
          <c:h val="0.6293166524685504"/>
        </c:manualLayout>
      </c:layout>
      <c:pie3DChart>
        <c:varyColors val="1"/>
        <c:ser>
          <c:idx val="0"/>
          <c:order val="0"/>
          <c:tx>
            <c:strRef>
              <c:f>'Waste Summary (2)'!$J$7</c:f>
              <c:strCache>
                <c:ptCount val="1"/>
                <c:pt idx="0">
                  <c:v>Weight (t)</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508-40AD-9C5D-CDFC5EAB021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508-40AD-9C5D-CDFC5EAB021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508-40AD-9C5D-CDFC5EAB021F}"/>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6508-40AD-9C5D-CDFC5EAB021F}"/>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508-40AD-9C5D-CDFC5EAB021F}"/>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508-40AD-9C5D-CDFC5EAB021F}"/>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508-40AD-9C5D-CDFC5EAB021F}"/>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508-40AD-9C5D-CDFC5EAB021F}"/>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508-40AD-9C5D-CDFC5EAB021F}"/>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508-40AD-9C5D-CDFC5EAB021F}"/>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508-40AD-9C5D-CDFC5EAB021F}"/>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508-40AD-9C5D-CDFC5EAB021F}"/>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508-40AD-9C5D-CDFC5EAB021F}"/>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508-40AD-9C5D-CDFC5EAB021F}"/>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508-40AD-9C5D-CDFC5EAB021F}"/>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508-40AD-9C5D-CDFC5EAB021F}"/>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508-40AD-9C5D-CDFC5EAB021F}"/>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508-40AD-9C5D-CDFC5EAB021F}"/>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508-40AD-9C5D-CDFC5EAB021F}"/>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508-40AD-9C5D-CDFC5EAB021F}"/>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508-40AD-9C5D-CDFC5EAB021F}"/>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508-40AD-9C5D-CDFC5EAB021F}"/>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6508-40AD-9C5D-CDFC5EAB021F}"/>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6508-40AD-9C5D-CDFC5EAB021F}"/>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6508-40AD-9C5D-CDFC5EAB021F}"/>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6508-40AD-9C5D-CDFC5EAB021F}"/>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6508-40AD-9C5D-CDFC5EAB021F}"/>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6508-40AD-9C5D-CDFC5EAB021F}"/>
              </c:ext>
            </c:extLst>
          </c:dPt>
          <c:dLbls>
            <c:dLbl>
              <c:idx val="0"/>
              <c:layout>
                <c:manualLayout>
                  <c:x val="-5.4917321723816089E-2"/>
                  <c:y val="-4.281553813868030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508-40AD-9C5D-CDFC5EAB021F}"/>
                </c:ext>
              </c:extLst>
            </c:dLbl>
            <c:dLbl>
              <c:idx val="1"/>
              <c:layout>
                <c:manualLayout>
                  <c:x val="-0.14874571905277648"/>
                  <c:y val="-9.149022321671746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508-40AD-9C5D-CDFC5EAB021F}"/>
                </c:ext>
              </c:extLst>
            </c:dLbl>
            <c:dLbl>
              <c:idx val="2"/>
              <c:layout>
                <c:manualLayout>
                  <c:x val="3.3269131644728209E-2"/>
                  <c:y val="-7.790933844698462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508-40AD-9C5D-CDFC5EAB021F}"/>
                </c:ext>
              </c:extLst>
            </c:dLbl>
            <c:dLbl>
              <c:idx val="3"/>
              <c:layout>
                <c:manualLayout>
                  <c:x val="0.15934585529321202"/>
                  <c:y val="-1.923888605823960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508-40AD-9C5D-CDFC5EAB021F}"/>
                </c:ext>
              </c:extLst>
            </c:dLbl>
            <c:dLbl>
              <c:idx val="4"/>
              <c:layout>
                <c:manualLayout>
                  <c:x val="0.20494414034676875"/>
                  <c:y val="-2.52073060159599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508-40AD-9C5D-CDFC5EAB021F}"/>
                </c:ext>
              </c:extLst>
            </c:dLbl>
            <c:dLbl>
              <c:idx val="5"/>
              <c:layout>
                <c:manualLayout>
                  <c:x val="8.9946042989979227E-2"/>
                  <c:y val="6.399807660159544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508-40AD-9C5D-CDFC5EAB021F}"/>
                </c:ext>
              </c:extLst>
            </c:dLbl>
            <c:dLbl>
              <c:idx val="6"/>
              <c:layout>
                <c:manualLayout>
                  <c:x val="3.2489421603064006E-2"/>
                  <c:y val="9.2643582166259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6508-40AD-9C5D-CDFC5EAB021F}"/>
                </c:ext>
              </c:extLst>
            </c:dLbl>
            <c:dLbl>
              <c:idx val="7"/>
              <c:layout>
                <c:manualLayout>
                  <c:x val="-4.8261751682419474E-2"/>
                  <c:y val="4.6999871514840034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6508-40AD-9C5D-CDFC5EAB021F}"/>
                </c:ext>
              </c:extLst>
            </c:dLbl>
            <c:dLbl>
              <c:idx val="8"/>
              <c:layout>
                <c:manualLayout>
                  <c:x val="-2.2327561494800505E-2"/>
                  <c:y val="9.029140032095429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6508-40AD-9C5D-CDFC5EAB021F}"/>
                </c:ext>
              </c:extLst>
            </c:dLbl>
            <c:dLbl>
              <c:idx val="9"/>
              <c:layout>
                <c:manualLayout>
                  <c:x val="-6.5878132838720349E-2"/>
                  <c:y val="4.61603005761009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6508-40AD-9C5D-CDFC5EAB021F}"/>
                </c:ext>
              </c:extLst>
            </c:dLbl>
            <c:dLbl>
              <c:idx val="13"/>
              <c:layout>
                <c:manualLayout>
                  <c:x val="5.5936190947336428E-2"/>
                  <c:y val="-0.131449098462460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6508-40AD-9C5D-CDFC5EAB021F}"/>
                </c:ext>
              </c:extLst>
            </c:dLbl>
            <c:dLbl>
              <c:idx val="16"/>
              <c:layout>
                <c:manualLayout>
                  <c:x val="1.3163150004517118E-2"/>
                  <c:y val="-6.170628292432223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6508-40AD-9C5D-CDFC5EAB021F}"/>
                </c:ext>
              </c:extLst>
            </c:dLbl>
            <c:dLbl>
              <c:idx val="19"/>
              <c:layout>
                <c:manualLayout>
                  <c:x val="0.10316231272190056"/>
                  <c:y val="-3.782624523534198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6508-40AD-9C5D-CDFC5EAB021F}"/>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 (2)'!$A$8:$A$35</c:f>
              <c:strCache>
                <c:ptCount val="9"/>
                <c:pt idx="0">
                  <c:v>General</c:v>
                </c:pt>
                <c:pt idx="1">
                  <c:v>0</c:v>
                </c:pt>
                <c:pt idx="2">
                  <c:v>0</c:v>
                </c:pt>
                <c:pt idx="3">
                  <c:v>0</c:v>
                </c:pt>
                <c:pt idx="4">
                  <c:v>0</c:v>
                </c:pt>
                <c:pt idx="5">
                  <c:v>Recycle</c:v>
                </c:pt>
                <c:pt idx="6">
                  <c:v>Confidential</c:v>
                </c:pt>
                <c:pt idx="7">
                  <c:v>Commingle</c:v>
                </c:pt>
                <c:pt idx="8">
                  <c:v>Timber</c:v>
                </c:pt>
              </c:strCache>
            </c:strRef>
          </c:cat>
          <c:val>
            <c:numRef>
              <c:f>'Waste Summary (2)'!$J$8:$J$35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6508-40AD-9C5D-CDFC5EAB021F}"/>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SPEND by Waste Stream</a:t>
            </a:r>
          </a:p>
        </c:rich>
      </c:tx>
      <c:layout>
        <c:manualLayout>
          <c:xMode val="edge"/>
          <c:yMode val="edge"/>
          <c:x val="0.17923029065811216"/>
          <c:y val="4.052928466814576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941873865449354E-2"/>
          <c:y val="0.22149849254823528"/>
          <c:w val="0.91441027028832278"/>
          <c:h val="0.64406121000766137"/>
        </c:manualLayout>
      </c:layout>
      <c:pie3DChart>
        <c:varyColors val="1"/>
        <c:ser>
          <c:idx val="0"/>
          <c:order val="0"/>
          <c:tx>
            <c:strRef>
              <c:f>'Waste Summary (2)'!$I$7</c:f>
              <c:strCache>
                <c:ptCount val="1"/>
                <c:pt idx="0">
                  <c:v>Spend</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E424-47CE-8559-935EAA83D5A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E424-47CE-8559-935EAA83D5A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E424-47CE-8559-935EAA83D5A2}"/>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E424-47CE-8559-935EAA83D5A2}"/>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E424-47CE-8559-935EAA83D5A2}"/>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E424-47CE-8559-935EAA83D5A2}"/>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E424-47CE-8559-935EAA83D5A2}"/>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E424-47CE-8559-935EAA83D5A2}"/>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E424-47CE-8559-935EAA83D5A2}"/>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E424-47CE-8559-935EAA83D5A2}"/>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E424-47CE-8559-935EAA83D5A2}"/>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E424-47CE-8559-935EAA83D5A2}"/>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E424-47CE-8559-935EAA83D5A2}"/>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E424-47CE-8559-935EAA83D5A2}"/>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E424-47CE-8559-935EAA83D5A2}"/>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E424-47CE-8559-935EAA83D5A2}"/>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E424-47CE-8559-935EAA83D5A2}"/>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E424-47CE-8559-935EAA83D5A2}"/>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E424-47CE-8559-935EAA83D5A2}"/>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E424-47CE-8559-935EAA83D5A2}"/>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E424-47CE-8559-935EAA83D5A2}"/>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E424-47CE-8559-935EAA83D5A2}"/>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E424-47CE-8559-935EAA83D5A2}"/>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E424-47CE-8559-935EAA83D5A2}"/>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E424-47CE-8559-935EAA83D5A2}"/>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E424-47CE-8559-935EAA83D5A2}"/>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E424-47CE-8559-935EAA83D5A2}"/>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E424-47CE-8559-935EAA83D5A2}"/>
              </c:ext>
            </c:extLst>
          </c:dPt>
          <c:dLbls>
            <c:dLbl>
              <c:idx val="0"/>
              <c:layout>
                <c:manualLayout>
                  <c:x val="-2.890042432437654E-2"/>
                  <c:y val="7.498986671163546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424-47CE-8559-935EAA83D5A2}"/>
                </c:ext>
              </c:extLst>
            </c:dLbl>
            <c:dLbl>
              <c:idx val="1"/>
              <c:layout>
                <c:manualLayout>
                  <c:x val="-0.12594060716740227"/>
                  <c:y val="6.77702078731352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E424-47CE-8559-935EAA83D5A2}"/>
                </c:ext>
              </c:extLst>
            </c:dLbl>
            <c:dLbl>
              <c:idx val="2"/>
              <c:layout>
                <c:manualLayout>
                  <c:x val="6.7228738256305104E-4"/>
                  <c:y val="1.62769402249440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E424-47CE-8559-935EAA83D5A2}"/>
                </c:ext>
              </c:extLst>
            </c:dLbl>
            <c:dLbl>
              <c:idx val="3"/>
              <c:layout>
                <c:manualLayout>
                  <c:x val="9.5196596538999936E-2"/>
                  <c:y val="1.466353361013324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E424-47CE-8559-935EAA83D5A2}"/>
                </c:ext>
              </c:extLst>
            </c:dLbl>
            <c:dLbl>
              <c:idx val="4"/>
              <c:layout>
                <c:manualLayout>
                  <c:x val="7.4275111899398593E-3"/>
                  <c:y val="6.5462753182774442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E424-47CE-8559-935EAA83D5A2}"/>
                </c:ext>
              </c:extLst>
            </c:dLbl>
            <c:dLbl>
              <c:idx val="6"/>
              <c:layout>
                <c:manualLayout>
                  <c:x val="-0.13740781321043966"/>
                  <c:y val="6.177402827769326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E424-47CE-8559-935EAA83D5A2}"/>
                </c:ext>
              </c:extLst>
            </c:dLbl>
            <c:dLbl>
              <c:idx val="7"/>
              <c:layout>
                <c:manualLayout>
                  <c:x val="3.5935555651071267E-2"/>
                  <c:y val="-4.49715455378556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E424-47CE-8559-935EAA83D5A2}"/>
                </c:ext>
              </c:extLst>
            </c:dLbl>
            <c:dLbl>
              <c:idx val="8"/>
              <c:layout>
                <c:manualLayout>
                  <c:x val="0.11221195461632663"/>
                  <c:y val="-1.870719259748270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E424-47CE-8559-935EAA83D5A2}"/>
                </c:ext>
              </c:extLst>
            </c:dLbl>
            <c:dLbl>
              <c:idx val="9"/>
              <c:layout>
                <c:manualLayout>
                  <c:x val="6.6318187420690969E-2"/>
                  <c:y val="-1.4460985603311613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E424-47CE-8559-935EAA83D5A2}"/>
                </c:ext>
              </c:extLst>
            </c:dLbl>
            <c:dLbl>
              <c:idx val="13"/>
              <c:layout>
                <c:manualLayout>
                  <c:x val="-6.8246839282855479E-2"/>
                  <c:y val="3.101033536532937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E424-47CE-8559-935EAA83D5A2}"/>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 (2)'!$A$8:$A$13</c:f>
              <c:strCache>
                <c:ptCount val="6"/>
                <c:pt idx="0">
                  <c:v>General</c:v>
                </c:pt>
                <c:pt idx="1">
                  <c:v>0</c:v>
                </c:pt>
                <c:pt idx="2">
                  <c:v>0</c:v>
                </c:pt>
                <c:pt idx="3">
                  <c:v>0</c:v>
                </c:pt>
                <c:pt idx="4">
                  <c:v>0</c:v>
                </c:pt>
                <c:pt idx="5">
                  <c:v>Recycle</c:v>
                </c:pt>
              </c:strCache>
            </c:strRef>
          </c:cat>
          <c:val>
            <c:numRef>
              <c:f>'Waste Summary (2)'!$I$8:$I$35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E424-47CE-8559-935EAA83D5A2}"/>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t>Previous</a:t>
            </a:r>
            <a:r>
              <a:rPr lang="en-AU"/>
              <a:t> Month Waste WEIGHT by Waste Stream</a:t>
            </a:r>
          </a:p>
        </c:rich>
      </c:tx>
      <c:layout>
        <c:manualLayout>
          <c:xMode val="edge"/>
          <c:yMode val="edge"/>
          <c:x val="0.21463416520448755"/>
          <c:y val="4.40910270831530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4772485846558384E-2"/>
          <c:y val="0.23484859044611517"/>
          <c:w val="0.93522751415344163"/>
          <c:h val="0.62925821971238005"/>
        </c:manualLayout>
      </c:layout>
      <c:pie3DChart>
        <c:varyColors val="1"/>
        <c:ser>
          <c:idx val="0"/>
          <c:order val="0"/>
          <c:tx>
            <c:strRef>
              <c:f>'Waste Summary (2)'!$L$7</c:f>
              <c:strCache>
                <c:ptCount val="1"/>
                <c:pt idx="0">
                  <c:v>Weight (t)</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C2B-4797-96B5-4B81C9C011C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C2B-4797-96B5-4B81C9C011C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C2B-4797-96B5-4B81C9C011C8}"/>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6C2B-4797-96B5-4B81C9C011C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6C2B-4797-96B5-4B81C9C011C8}"/>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6C2B-4797-96B5-4B81C9C011C8}"/>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6C2B-4797-96B5-4B81C9C011C8}"/>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6C2B-4797-96B5-4B81C9C011C8}"/>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6C2B-4797-96B5-4B81C9C011C8}"/>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6C2B-4797-96B5-4B81C9C011C8}"/>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6C2B-4797-96B5-4B81C9C011C8}"/>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6C2B-4797-96B5-4B81C9C011C8}"/>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6C2B-4797-96B5-4B81C9C011C8}"/>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6C2B-4797-96B5-4B81C9C011C8}"/>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6C2B-4797-96B5-4B81C9C011C8}"/>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6C2B-4797-96B5-4B81C9C011C8}"/>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6C2B-4797-96B5-4B81C9C011C8}"/>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6C2B-4797-96B5-4B81C9C011C8}"/>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6C2B-4797-96B5-4B81C9C011C8}"/>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6C2B-4797-96B5-4B81C9C011C8}"/>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6C2B-4797-96B5-4B81C9C011C8}"/>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6C2B-4797-96B5-4B81C9C011C8}"/>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6C2B-4797-96B5-4B81C9C011C8}"/>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6C2B-4797-96B5-4B81C9C011C8}"/>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6C2B-4797-96B5-4B81C9C011C8}"/>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6C2B-4797-96B5-4B81C9C011C8}"/>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6C2B-4797-96B5-4B81C9C011C8}"/>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6C2B-4797-96B5-4B81C9C011C8}"/>
              </c:ext>
            </c:extLst>
          </c:dPt>
          <c:dLbls>
            <c:dLbl>
              <c:idx val="0"/>
              <c:layout>
                <c:manualLayout>
                  <c:x val="-9.4743945469982271E-2"/>
                  <c:y val="4.7481475170248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2B-4797-96B5-4B81C9C011C8}"/>
                </c:ext>
              </c:extLst>
            </c:dLbl>
            <c:dLbl>
              <c:idx val="1"/>
              <c:layout>
                <c:manualLayout>
                  <c:x val="-0.19500857972863897"/>
                  <c:y val="5.9168996050275304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2B-4797-96B5-4B81C9C011C8}"/>
                </c:ext>
              </c:extLst>
            </c:dLbl>
            <c:dLbl>
              <c:idx val="2"/>
              <c:layout>
                <c:manualLayout>
                  <c:x val="3.9417659650869213E-2"/>
                  <c:y val="-1.163557253389966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C2B-4797-96B5-4B81C9C011C8}"/>
                </c:ext>
              </c:extLst>
            </c:dLbl>
            <c:dLbl>
              <c:idx val="3"/>
              <c:layout>
                <c:manualLayout>
                  <c:x val="0.13990299108947976"/>
                  <c:y val="-3.56713962593730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C2B-4797-96B5-4B81C9C011C8}"/>
                </c:ext>
              </c:extLst>
            </c:dLbl>
            <c:dLbl>
              <c:idx val="4"/>
              <c:layout>
                <c:manualLayout>
                  <c:x val="4.7148194873430783E-2"/>
                  <c:y val="3.95352795408684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C2B-4797-96B5-4B81C9C011C8}"/>
                </c:ext>
              </c:extLst>
            </c:dLbl>
            <c:dLbl>
              <c:idx val="5"/>
              <c:layout>
                <c:manualLayout>
                  <c:x val="0.15149963989307966"/>
                  <c:y val="-2.842140215091816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C2B-4797-96B5-4B81C9C011C8}"/>
                </c:ext>
              </c:extLst>
            </c:dLbl>
            <c:dLbl>
              <c:idx val="6"/>
              <c:layout>
                <c:manualLayout>
                  <c:x val="-0.20662263603935374"/>
                  <c:y val="4.710018963079596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6C2B-4797-96B5-4B81C9C011C8}"/>
                </c:ext>
              </c:extLst>
            </c:dLbl>
            <c:dLbl>
              <c:idx val="7"/>
              <c:layout>
                <c:manualLayout>
                  <c:x val="5.1116711763553653E-2"/>
                  <c:y val="8.845825106467156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6C2B-4797-96B5-4B81C9C011C8}"/>
                </c:ext>
              </c:extLst>
            </c:dLbl>
            <c:dLbl>
              <c:idx val="8"/>
              <c:layout>
                <c:manualLayout>
                  <c:x val="-7.1044610933959002E-2"/>
                  <c:y val="-0.1177222657425255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6C2B-4797-96B5-4B81C9C011C8}"/>
                </c:ext>
              </c:extLst>
            </c:dLbl>
            <c:dLbl>
              <c:idx val="9"/>
              <c:layout>
                <c:manualLayout>
                  <c:x val="2.7214086613117798E-2"/>
                  <c:y val="2.50986290837292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6C2B-4797-96B5-4B81C9C011C8}"/>
                </c:ext>
              </c:extLst>
            </c:dLbl>
            <c:dLbl>
              <c:idx val="13"/>
              <c:layout>
                <c:manualLayout>
                  <c:x val="6.7042869854639642E-2"/>
                  <c:y val="-0.1207688775957692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6C2B-4797-96B5-4B81C9C011C8}"/>
                </c:ext>
              </c:extLst>
            </c:dLbl>
            <c:dLbl>
              <c:idx val="16"/>
              <c:layout>
                <c:manualLayout>
                  <c:x val="-1.464202443344396E-2"/>
                  <c:y val="-5.175573150958363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6C2B-4797-96B5-4B81C9C011C8}"/>
                </c:ext>
              </c:extLst>
            </c:dLbl>
            <c:dLbl>
              <c:idx val="18"/>
              <c:layout>
                <c:manualLayout>
                  <c:x val="3.3721936372189336E-2"/>
                  <c:y val="6.883974126894677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6C2B-4797-96B5-4B81C9C011C8}"/>
                </c:ext>
              </c:extLst>
            </c:dLbl>
            <c:dLbl>
              <c:idx val="19"/>
              <c:layout>
                <c:manualLayout>
                  <c:x val="9.3333024133966838E-2"/>
                  <c:y val="-9.9780130137739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6C2B-4797-96B5-4B81C9C011C8}"/>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 (2)'!$E$8:$E$35</c:f>
              <c:strCache>
                <c:ptCount val="28"/>
                <c:pt idx="0">
                  <c:v>General</c:v>
                </c:pt>
                <c:pt idx="1">
                  <c:v>0</c:v>
                </c:pt>
                <c:pt idx="2">
                  <c:v>0</c:v>
                </c:pt>
                <c:pt idx="3">
                  <c:v>0</c:v>
                </c:pt>
                <c:pt idx="4">
                  <c:v>0</c:v>
                </c:pt>
                <c:pt idx="5">
                  <c:v>Recycle</c:v>
                </c:pt>
                <c:pt idx="6">
                  <c:v>Confidential</c:v>
                </c:pt>
                <c:pt idx="7">
                  <c:v>Commingle</c:v>
                </c:pt>
                <c:pt idx="8">
                  <c:v>Timber</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strCache>
            </c:strRef>
          </c:cat>
          <c:val>
            <c:numRef>
              <c:f>'Waste Summary (2)'!$L$8:$L$35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6C2B-4797-96B5-4B81C9C011C8}"/>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t>Previous</a:t>
            </a:r>
            <a:r>
              <a:rPr lang="en-AU" b="0" baseline="0"/>
              <a:t> </a:t>
            </a:r>
            <a:r>
              <a:rPr lang="en-AU"/>
              <a:t>Month Waste SPEND by Waste Stream</a:t>
            </a:r>
          </a:p>
        </c:rich>
      </c:tx>
      <c:layout>
        <c:manualLayout>
          <c:xMode val="edge"/>
          <c:yMode val="edge"/>
          <c:x val="0.22614387090502577"/>
          <c:y val="2.947956091123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0707705055047554E-2"/>
          <c:y val="0.22436804720569978"/>
          <c:w val="0.91247843413164775"/>
          <c:h val="0.64132530058308124"/>
        </c:manualLayout>
      </c:layout>
      <c:pie3DChart>
        <c:varyColors val="1"/>
        <c:ser>
          <c:idx val="0"/>
          <c:order val="0"/>
          <c:tx>
            <c:strRef>
              <c:f>'Waste Summary (2)'!$K$7</c:f>
              <c:strCache>
                <c:ptCount val="1"/>
                <c:pt idx="0">
                  <c:v>Spend</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7DA-4A4E-9530-006ACA30555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7DA-4A4E-9530-006ACA30555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7DA-4A4E-9530-006ACA305553}"/>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B7DA-4A4E-9530-006ACA30555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B7DA-4A4E-9530-006ACA30555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B7DA-4A4E-9530-006ACA30555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B7DA-4A4E-9530-006ACA30555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B7DA-4A4E-9530-006ACA30555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B7DA-4A4E-9530-006ACA30555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B7DA-4A4E-9530-006ACA30555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B7DA-4A4E-9530-006ACA30555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B7DA-4A4E-9530-006ACA30555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B7DA-4A4E-9530-006ACA30555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B7DA-4A4E-9530-006ACA30555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B7DA-4A4E-9530-006ACA30555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B7DA-4A4E-9530-006ACA30555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B7DA-4A4E-9530-006ACA30555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B7DA-4A4E-9530-006ACA30555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B7DA-4A4E-9530-006ACA305553}"/>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B7DA-4A4E-9530-006ACA30555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B7DA-4A4E-9530-006ACA30555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B7DA-4A4E-9530-006ACA30555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B7DA-4A4E-9530-006ACA305553}"/>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B7DA-4A4E-9530-006ACA305553}"/>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B7DA-4A4E-9530-006ACA305553}"/>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B7DA-4A4E-9530-006ACA305553}"/>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B7DA-4A4E-9530-006ACA305553}"/>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B7DA-4A4E-9530-006ACA305553}"/>
              </c:ext>
            </c:extLst>
          </c:dPt>
          <c:dLbls>
            <c:dLbl>
              <c:idx val="0"/>
              <c:layout>
                <c:manualLayout>
                  <c:x val="-4.3139885292116265E-2"/>
                  <c:y val="8.0925375992310228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7DA-4A4E-9530-006ACA305553}"/>
                </c:ext>
              </c:extLst>
            </c:dLbl>
            <c:dLbl>
              <c:idx val="1"/>
              <c:layout>
                <c:manualLayout>
                  <c:x val="-2.6163515158411517E-3"/>
                  <c:y val="2.63730603249097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B7DA-4A4E-9530-006ACA305553}"/>
                </c:ext>
              </c:extLst>
            </c:dLbl>
            <c:dLbl>
              <c:idx val="2"/>
              <c:layout>
                <c:manualLayout>
                  <c:x val="-2.008139938345456E-3"/>
                  <c:y val="-1.871991413051279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B7DA-4A4E-9530-006ACA305553}"/>
                </c:ext>
              </c:extLst>
            </c:dLbl>
            <c:dLbl>
              <c:idx val="3"/>
              <c:layout>
                <c:manualLayout>
                  <c:x val="8.2325167687372497E-2"/>
                  <c:y val="2.880294659300184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B7DA-4A4E-9530-006ACA305553}"/>
                </c:ext>
              </c:extLst>
            </c:dLbl>
            <c:dLbl>
              <c:idx val="6"/>
              <c:layout>
                <c:manualLayout>
                  <c:x val="-0.14813077109849102"/>
                  <c:y val="4.0322797711464672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7DA-4A4E-9530-006ACA305553}"/>
                </c:ext>
              </c:extLst>
            </c:dLbl>
            <c:dLbl>
              <c:idx val="7"/>
              <c:layout>
                <c:manualLayout>
                  <c:x val="0.10798183538861834"/>
                  <c:y val="-0.188406658154138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B7DA-4A4E-9530-006ACA305553}"/>
                </c:ext>
              </c:extLst>
            </c:dLbl>
            <c:dLbl>
              <c:idx val="8"/>
              <c:layout>
                <c:manualLayout>
                  <c:x val="0.18741506874233224"/>
                  <c:y val="-4.54158204119337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B7DA-4A4E-9530-006ACA305553}"/>
                </c:ext>
              </c:extLst>
            </c:dLbl>
            <c:dLbl>
              <c:idx val="9"/>
              <c:layout>
                <c:manualLayout>
                  <c:x val="5.9134432387947633E-2"/>
                  <c:y val="1.280817711707645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B7DA-4A4E-9530-006ACA305553}"/>
                </c:ext>
              </c:extLst>
            </c:dLbl>
            <c:dLbl>
              <c:idx val="13"/>
              <c:layout>
                <c:manualLayout>
                  <c:x val="5.0993612576437128E-2"/>
                  <c:y val="-7.67700299573636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B7DA-4A4E-9530-006ACA305553}"/>
                </c:ext>
              </c:extLst>
            </c:dLbl>
            <c:dLbl>
              <c:idx val="16"/>
              <c:layout>
                <c:manualLayout>
                  <c:x val="2.7386188709060909E-2"/>
                  <c:y val="4.110517723533618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B7DA-4A4E-9530-006ACA305553}"/>
                </c:ext>
              </c:extLst>
            </c:dLbl>
            <c:dLbl>
              <c:idx val="18"/>
              <c:layout>
                <c:manualLayout>
                  <c:x val="-3.3736430431092992E-2"/>
                  <c:y val="3.005385139005465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B7DA-4A4E-9530-006ACA305553}"/>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 (2)'!$E$8:$E$35</c:f>
              <c:strCache>
                <c:ptCount val="28"/>
                <c:pt idx="0">
                  <c:v>General</c:v>
                </c:pt>
                <c:pt idx="1">
                  <c:v>0</c:v>
                </c:pt>
                <c:pt idx="2">
                  <c:v>0</c:v>
                </c:pt>
                <c:pt idx="3">
                  <c:v>0</c:v>
                </c:pt>
                <c:pt idx="4">
                  <c:v>0</c:v>
                </c:pt>
                <c:pt idx="5">
                  <c:v>Recycle</c:v>
                </c:pt>
                <c:pt idx="6">
                  <c:v>Confidential</c:v>
                </c:pt>
                <c:pt idx="7">
                  <c:v>Commingle</c:v>
                </c:pt>
                <c:pt idx="8">
                  <c:v>Timber</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strCache>
            </c:strRef>
          </c:cat>
          <c:val>
            <c:numRef>
              <c:f>'Waste Summary (2)'!$K$8:$K$35</c:f>
              <c:numCache>
                <c:formatCode>0.0%</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numCache>
            </c:numRef>
          </c:val>
          <c:extLst>
            <c:ext xmlns:c16="http://schemas.microsoft.com/office/drawing/2014/chart" uri="{C3380CC4-5D6E-409C-BE32-E72D297353CC}">
              <c16:uniqueId val="{00000038-B7DA-4A4E-9530-006ACA305553}"/>
            </c:ext>
          </c:extLst>
        </c:ser>
        <c:dLbls>
          <c:showLegendKey val="0"/>
          <c:showVal val="0"/>
          <c:showCatName val="0"/>
          <c:showSerName val="0"/>
          <c:showPercent val="0"/>
          <c:showBubbleSize val="0"/>
          <c:showLeaderLines val="1"/>
        </c:dLbls>
      </c:pie3DChart>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png"/><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image" Target="../media/image14.png"/></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15.emf"/><Relationship Id="rId7" Type="http://schemas.openxmlformats.org/officeDocument/2006/relationships/image" Target="../media/image19.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8.emf"/><Relationship Id="rId5" Type="http://schemas.openxmlformats.org/officeDocument/2006/relationships/image" Target="../media/image17.emf"/><Relationship Id="rId10" Type="http://schemas.openxmlformats.org/officeDocument/2006/relationships/image" Target="../media/image22.emf"/><Relationship Id="rId4" Type="http://schemas.openxmlformats.org/officeDocument/2006/relationships/image" Target="../media/image16.emf"/><Relationship Id="rId9"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900</xdr:colOff>
      <xdr:row>53</xdr:row>
      <xdr:rowOff>10583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7134067" cy="10149416"/>
        </a:xfrm>
        <a:prstGeom prst="rect">
          <a:avLst/>
        </a:prstGeom>
      </xdr:spPr>
    </xdr:pic>
    <xdr:clientData/>
  </xdr:twoCellAnchor>
  <xdr:twoCellAnchor editAs="absolute">
    <xdr:from>
      <xdr:col>0</xdr:col>
      <xdr:colOff>57150</xdr:colOff>
      <xdr:row>11</xdr:row>
      <xdr:rowOff>152400</xdr:rowOff>
    </xdr:from>
    <xdr:to>
      <xdr:col>0</xdr:col>
      <xdr:colOff>4308475</xdr:colOff>
      <xdr:row>18</xdr:row>
      <xdr:rowOff>76200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228850"/>
          <a:ext cx="4251325"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00000" rtlCol="0" anchor="t"/>
        <a:lstStyle/>
        <a:p>
          <a:r>
            <a:rPr lang="en-AU" sz="5000" b="1" i="1">
              <a:solidFill>
                <a:schemeClr val="tx1"/>
              </a:solidFill>
            </a:rPr>
            <a:t>Big Picture</a:t>
          </a:r>
        </a:p>
        <a:p>
          <a:r>
            <a:rPr lang="en-AU" sz="1500" i="1">
              <a:solidFill>
                <a:schemeClr val="tx2"/>
              </a:solidFill>
            </a:rPr>
            <a:t>Waste</a:t>
          </a:r>
          <a:r>
            <a:rPr lang="en-AU" sz="1500" i="1" baseline="0">
              <a:solidFill>
                <a:schemeClr val="tx2"/>
              </a:solidFill>
            </a:rPr>
            <a:t> &amp; Recycling Report</a:t>
          </a:r>
          <a:endParaRPr lang="en-AU" sz="1500" i="1">
            <a:solidFill>
              <a:schemeClr val="tx2"/>
            </a:solidFill>
          </a:endParaRPr>
        </a:p>
      </xdr:txBody>
    </xdr:sp>
    <xdr:clientData/>
  </xdr:twoCellAnchor>
  <xdr:oneCellAnchor>
    <xdr:from>
      <xdr:col>6</xdr:col>
      <xdr:colOff>333374</xdr:colOff>
      <xdr:row>33</xdr:row>
      <xdr:rowOff>-1</xdr:rowOff>
    </xdr:from>
    <xdr:ext cx="184731"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0553699" y="62674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twoCellAnchor>
    <xdr:from>
      <xdr:col>0</xdr:col>
      <xdr:colOff>873129</xdr:colOff>
      <xdr:row>48</xdr:row>
      <xdr:rowOff>76200</xdr:rowOff>
    </xdr:from>
    <xdr:to>
      <xdr:col>0</xdr:col>
      <xdr:colOff>4767943</xdr:colOff>
      <xdr:row>51</xdr:row>
      <xdr:rowOff>152400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873129" y="8753475"/>
          <a:ext cx="3894814" cy="619125"/>
          <a:chOff x="187328" y="8335132"/>
          <a:chExt cx="3894814" cy="775606"/>
        </a:xfrm>
      </xdr:grpSpPr>
      <xdr:sp macro="" textlink="$A$42">
        <xdr:nvSpPr>
          <xdr:cNvPr id="9" name="TextBox 8">
            <a:extLst>
              <a:ext uri="{FF2B5EF4-FFF2-40B4-BE49-F238E27FC236}">
                <a16:creationId xmlns:a16="http://schemas.microsoft.com/office/drawing/2014/main" id="{00000000-0008-0000-0000-000009000000}"/>
              </a:ext>
            </a:extLst>
          </xdr:cNvPr>
          <xdr:cNvSpPr txBox="1"/>
        </xdr:nvSpPr>
        <xdr:spPr>
          <a:xfrm>
            <a:off x="190499" y="8335132"/>
            <a:ext cx="3891643" cy="77560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3E76C6-6F01-45FE-B1D6-C0E1CECA41C1}" type="TxLink">
              <a:rPr lang="en-US" sz="900" b="0" i="0" u="none" strike="noStrike">
                <a:solidFill>
                  <a:srgbClr val="666666"/>
                </a:solidFill>
                <a:latin typeface="Calibri"/>
                <a:cs typeface="Calibri"/>
              </a:rPr>
              <a:pPr/>
              <a:t>Rockhampton Grammer School  Consolidated Waste Report  January 2023</a:t>
            </a:fld>
            <a:endParaRPr lang="en-AU" sz="900" b="0">
              <a:solidFill>
                <a:schemeClr val="accent4"/>
              </a:solidFill>
            </a:endParaRPr>
          </a:p>
        </xdr:txBody>
      </xdr:sp>
      <xdr:sp macro="" textlink="$A$43">
        <xdr:nvSpPr>
          <xdr:cNvPr id="7" name="TextBox 6">
            <a:extLst>
              <a:ext uri="{FF2B5EF4-FFF2-40B4-BE49-F238E27FC236}">
                <a16:creationId xmlns:a16="http://schemas.microsoft.com/office/drawing/2014/main" id="{00000000-0008-0000-0000-000007000000}"/>
              </a:ext>
            </a:extLst>
          </xdr:cNvPr>
          <xdr:cNvSpPr txBox="1"/>
        </xdr:nvSpPr>
        <xdr:spPr>
          <a:xfrm>
            <a:off x="575118" y="8809887"/>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EBCBF611-E5DE-4288-96DC-FB0AE03BD883}" type="TxLink">
              <a:rPr lang="en-US" sz="900" b="0" i="0" u="none" strike="noStrike">
                <a:solidFill>
                  <a:srgbClr val="666666"/>
                </a:solidFill>
                <a:latin typeface="Calibri"/>
                <a:cs typeface="Calibri"/>
              </a:rPr>
              <a:pPr/>
              <a:t>Jan-23</a:t>
            </a:fld>
            <a:endParaRPr lang="en-AU" sz="900" b="0">
              <a:solidFill>
                <a:schemeClr val="accent4"/>
              </a:solidFill>
              <a:latin typeface="+mn-lt"/>
            </a:endParaRPr>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87328" y="8814158"/>
            <a:ext cx="732366" cy="247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b="0" i="0" u="none" strike="noStrike">
                <a:solidFill>
                  <a:schemeClr val="accent4"/>
                </a:solidFill>
                <a:latin typeface="Calibri"/>
              </a:rPr>
              <a:t>Period:</a:t>
            </a:r>
          </a:p>
        </xdr:txBody>
      </xdr:sp>
    </xdr:grpSp>
    <xdr:clientData/>
  </xdr:twoCellAnchor>
  <xdr:twoCellAnchor>
    <xdr:from>
      <xdr:col>0</xdr:col>
      <xdr:colOff>859366</xdr:colOff>
      <xdr:row>49</xdr:row>
      <xdr:rowOff>88900</xdr:rowOff>
    </xdr:from>
    <xdr:to>
      <xdr:col>0</xdr:col>
      <xdr:colOff>2656923</xdr:colOff>
      <xdr:row>50</xdr:row>
      <xdr:rowOff>145912</xdr:rowOff>
    </xdr:to>
    <xdr:sp macro="" textlink="Calculations!B23">
      <xdr:nvSpPr>
        <xdr:cNvPr id="10" name="TextBox 9">
          <a:extLst>
            <a:ext uri="{FF2B5EF4-FFF2-40B4-BE49-F238E27FC236}">
              <a16:creationId xmlns:a16="http://schemas.microsoft.com/office/drawing/2014/main" id="{00000000-0008-0000-0000-00000A000000}"/>
            </a:ext>
          </a:extLst>
        </xdr:cNvPr>
        <xdr:cNvSpPr txBox="1"/>
      </xdr:nvSpPr>
      <xdr:spPr>
        <a:xfrm>
          <a:off x="859366" y="9402233"/>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920C2968-FFAA-484F-AA36-8D13243C800C}" type="TxLink">
            <a:rPr lang="en-US" sz="900" b="0" i="0" u="none" strike="noStrike">
              <a:solidFill>
                <a:schemeClr val="accent6">
                  <a:lumMod val="50000"/>
                </a:schemeClr>
              </a:solidFill>
              <a:latin typeface="Calibri"/>
            </a:rPr>
            <a:pPr/>
            <a:t>Matthew Worley</a:t>
          </a:fld>
          <a:endParaRPr lang="en-AU" sz="900" b="0">
            <a:solidFill>
              <a:schemeClr val="accent6">
                <a:lumMod val="50000"/>
              </a:schemeClr>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939564</xdr:colOff>
      <xdr:row>52</xdr:row>
      <xdr:rowOff>139144</xdr:rowOff>
    </xdr:to>
    <xdr:pic>
      <xdr:nvPicPr>
        <xdr:cNvPr id="2" name="Picture 1">
          <a:extLst>
            <a:ext uri="{FF2B5EF4-FFF2-40B4-BE49-F238E27FC236}">
              <a16:creationId xmlns:a16="http://schemas.microsoft.com/office/drawing/2014/main" id="{9467A600-AA03-4CDB-8E34-6758669A7CB0}"/>
            </a:ext>
          </a:extLst>
        </xdr:cNvPr>
        <xdr:cNvPicPr>
          <a:picLocks noChangeAspect="1"/>
        </xdr:cNvPicPr>
      </xdr:nvPicPr>
      <xdr:blipFill>
        <a:blip xmlns:r="http://schemas.openxmlformats.org/officeDocument/2006/relationships" r:embed="rId1"/>
        <a:stretch>
          <a:fillRect/>
        </a:stretch>
      </xdr:blipFill>
      <xdr:spPr>
        <a:xfrm>
          <a:off x="0" y="0"/>
          <a:ext cx="7092714" cy="10045144"/>
        </a:xfrm>
        <a:prstGeom prst="rect">
          <a:avLst/>
        </a:prstGeom>
      </xdr:spPr>
    </xdr:pic>
    <xdr:clientData/>
  </xdr:twoCellAnchor>
  <xdr:twoCellAnchor>
    <xdr:from>
      <xdr:col>0</xdr:col>
      <xdr:colOff>209550</xdr:colOff>
      <xdr:row>4</xdr:row>
      <xdr:rowOff>142875</xdr:rowOff>
    </xdr:from>
    <xdr:to>
      <xdr:col>6</xdr:col>
      <xdr:colOff>142875</xdr:colOff>
      <xdr:row>12</xdr:row>
      <xdr:rowOff>9524</xdr:rowOff>
    </xdr:to>
    <xdr:sp macro="" textlink="">
      <xdr:nvSpPr>
        <xdr:cNvPr id="3" name="TextBox 2">
          <a:extLst>
            <a:ext uri="{FF2B5EF4-FFF2-40B4-BE49-F238E27FC236}">
              <a16:creationId xmlns:a16="http://schemas.microsoft.com/office/drawing/2014/main" id="{11F61880-918C-4879-B2E5-40F3F76A640A}"/>
            </a:ext>
          </a:extLst>
        </xdr:cNvPr>
        <xdr:cNvSpPr txBox="1"/>
      </xdr:nvSpPr>
      <xdr:spPr>
        <a:xfrm>
          <a:off x="209550" y="904875"/>
          <a:ext cx="4257675" cy="1390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a:solidFill>
                <a:schemeClr val="accent4"/>
              </a:solidFill>
            </a:rPr>
            <a:t>This snapshot provides you with a quick reference on the key waste and diversion milestones your organisation has achieved</a:t>
          </a:r>
          <a:r>
            <a:rPr lang="en-AU" sz="1100" baseline="0">
              <a:solidFill>
                <a:schemeClr val="accent4"/>
              </a:solidFill>
            </a:rPr>
            <a:t> since your last reporting period. </a:t>
          </a:r>
          <a:br>
            <a:rPr lang="en-AU" sz="1100" baseline="0">
              <a:solidFill>
                <a:schemeClr val="accent4"/>
              </a:solidFill>
            </a:rPr>
          </a:br>
          <a:br>
            <a:rPr lang="en-AU" sz="1100" baseline="0">
              <a:solidFill>
                <a:schemeClr val="accent4"/>
              </a:solidFill>
            </a:rPr>
          </a:br>
          <a:r>
            <a:rPr lang="en-AU" sz="1100" baseline="0">
              <a:solidFill>
                <a:schemeClr val="accent4"/>
              </a:solidFill>
            </a:rPr>
            <a:t>The Environmental Benefits Equivalent calculations have been based on the best available data and should only be used for benchmarking purposes only.</a:t>
          </a:r>
          <a:endParaRPr lang="en-AU" sz="1100">
            <a:solidFill>
              <a:schemeClr val="accent4"/>
            </a:solidFill>
            <a:latin typeface="+mn-lt"/>
            <a:ea typeface="+mn-ea"/>
            <a:cs typeface="+mn-cs"/>
          </a:endParaRPr>
        </a:p>
        <a:p>
          <a:endParaRPr lang="en-AU" sz="1100">
            <a:solidFill>
              <a:schemeClr val="accent4"/>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578448</xdr:colOff>
          <xdr:row>23</xdr:row>
          <xdr:rowOff>99285</xdr:rowOff>
        </xdr:from>
        <xdr:to>
          <xdr:col>6</xdr:col>
          <xdr:colOff>273648</xdr:colOff>
          <xdr:row>25</xdr:row>
          <xdr:rowOff>85678</xdr:rowOff>
        </xdr:to>
        <xdr:pic>
          <xdr:nvPicPr>
            <xdr:cNvPr id="4" name="Picture 9">
              <a:extLst>
                <a:ext uri="{FF2B5EF4-FFF2-40B4-BE49-F238E27FC236}">
                  <a16:creationId xmlns:a16="http://schemas.microsoft.com/office/drawing/2014/main" id="{071A5FE6-47C2-4545-9277-C720C7DF98F4}"/>
                </a:ext>
              </a:extLst>
            </xdr:cNvPr>
            <xdr:cNvPicPr>
              <a:picLocks noChangeAspect="1" noChangeArrowheads="1"/>
              <a:extLst>
                <a:ext uri="{84589F7E-364E-4C9E-8A38-B11213B215E9}">
                  <a14:cameraTool cellRange="Calculations!B135" spid="_x0000_s107872"/>
                </a:ext>
              </a:extLst>
            </xdr:cNvPicPr>
          </xdr:nvPicPr>
          <xdr:blipFill rotWithShape="1">
            <a:blip xmlns:r="http://schemas.openxmlformats.org/officeDocument/2006/relationships" r:embed="rId2"/>
            <a:srcRect l="1774" t="4211" r="2097" b="5263"/>
            <a:stretch>
              <a:fillRect/>
            </a:stretch>
          </xdr:blipFill>
          <xdr:spPr bwMode="auto">
            <a:xfrm>
              <a:off x="3073998" y="4480785"/>
              <a:ext cx="1524000"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67683</xdr:colOff>
          <xdr:row>23</xdr:row>
          <xdr:rowOff>63089</xdr:rowOff>
        </xdr:from>
        <xdr:to>
          <xdr:col>2</xdr:col>
          <xdr:colOff>982083</xdr:colOff>
          <xdr:row>25</xdr:row>
          <xdr:rowOff>49482</xdr:rowOff>
        </xdr:to>
        <xdr:pic>
          <xdr:nvPicPr>
            <xdr:cNvPr id="5" name="Picture 10">
              <a:extLst>
                <a:ext uri="{FF2B5EF4-FFF2-40B4-BE49-F238E27FC236}">
                  <a16:creationId xmlns:a16="http://schemas.microsoft.com/office/drawing/2014/main" id="{E9BF9B1D-CFD1-4CB0-AECC-81FF939EC1F4}"/>
                </a:ext>
              </a:extLst>
            </xdr:cNvPr>
            <xdr:cNvPicPr>
              <a:picLocks noChangeAspect="1" noChangeArrowheads="1"/>
              <a:extLst>
                <a:ext uri="{84589F7E-364E-4C9E-8A38-B11213B215E9}">
                  <a14:cameraTool cellRange="Calculations!B136" spid="_x0000_s107873"/>
                </a:ext>
              </a:extLst>
            </xdr:cNvPicPr>
          </xdr:nvPicPr>
          <xdr:blipFill rotWithShape="1">
            <a:blip xmlns:r="http://schemas.openxmlformats.org/officeDocument/2006/relationships" r:embed="rId3"/>
            <a:srcRect l="1128" t="7369" r="2419" b="7369"/>
            <a:stretch>
              <a:fillRect/>
            </a:stretch>
          </xdr:blipFill>
          <xdr:spPr bwMode="auto">
            <a:xfrm>
              <a:off x="677283" y="4444589"/>
              <a:ext cx="1524000"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589653</xdr:colOff>
          <xdr:row>36</xdr:row>
          <xdr:rowOff>107576</xdr:rowOff>
        </xdr:from>
        <xdr:to>
          <xdr:col>5</xdr:col>
          <xdr:colOff>563239</xdr:colOff>
          <xdr:row>38</xdr:row>
          <xdr:rowOff>93969</xdr:rowOff>
        </xdr:to>
        <xdr:pic>
          <xdr:nvPicPr>
            <xdr:cNvPr id="6" name="Picture 12">
              <a:extLst>
                <a:ext uri="{FF2B5EF4-FFF2-40B4-BE49-F238E27FC236}">
                  <a16:creationId xmlns:a16="http://schemas.microsoft.com/office/drawing/2014/main" id="{E169E35F-C530-4798-B09E-7A63A7473D73}"/>
                </a:ext>
              </a:extLst>
            </xdr:cNvPr>
            <xdr:cNvPicPr>
              <a:picLocks noChangeAspect="1" noChangeArrowheads="1"/>
              <a:extLst>
                <a:ext uri="{84589F7E-364E-4C9E-8A38-B11213B215E9}">
                  <a14:cameraTool cellRange="Calculations!C135" spid="_x0000_s107874"/>
                </a:ext>
              </a:extLst>
            </xdr:cNvPicPr>
          </xdr:nvPicPr>
          <xdr:blipFill rotWithShape="1">
            <a:blip xmlns:r="http://schemas.openxmlformats.org/officeDocument/2006/relationships" r:embed="rId4"/>
            <a:srcRect l="2580" t="5263" r="1612" b="7369"/>
            <a:stretch>
              <a:fillRect/>
            </a:stretch>
          </xdr:blipFill>
          <xdr:spPr bwMode="auto">
            <a:xfrm>
              <a:off x="3085203" y="6965576"/>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22748</xdr:colOff>
          <xdr:row>36</xdr:row>
          <xdr:rowOff>54797</xdr:rowOff>
        </xdr:from>
        <xdr:to>
          <xdr:col>2</xdr:col>
          <xdr:colOff>605934</xdr:colOff>
          <xdr:row>38</xdr:row>
          <xdr:rowOff>41190</xdr:rowOff>
        </xdr:to>
        <xdr:pic>
          <xdr:nvPicPr>
            <xdr:cNvPr id="7" name="Picture 13">
              <a:extLst>
                <a:ext uri="{FF2B5EF4-FFF2-40B4-BE49-F238E27FC236}">
                  <a16:creationId xmlns:a16="http://schemas.microsoft.com/office/drawing/2014/main" id="{AF4526DA-0E4A-4C53-B4AD-D7E776A74222}"/>
                </a:ext>
              </a:extLst>
            </xdr:cNvPr>
            <xdr:cNvPicPr>
              <a:picLocks noChangeAspect="1" noChangeArrowheads="1"/>
              <a:extLst>
                <a:ext uri="{84589F7E-364E-4C9E-8A38-B11213B215E9}">
                  <a14:cameraTool cellRange="Calculations!C136" spid="_x0000_s107875"/>
                </a:ext>
              </a:extLst>
            </xdr:cNvPicPr>
          </xdr:nvPicPr>
          <xdr:blipFill rotWithShape="1">
            <a:blip xmlns:r="http://schemas.openxmlformats.org/officeDocument/2006/relationships" r:embed="rId5"/>
            <a:srcRect l="2257" t="6316" r="2581" b="8421"/>
            <a:stretch>
              <a:fillRect/>
            </a:stretch>
          </xdr:blipFill>
          <xdr:spPr bwMode="auto">
            <a:xfrm>
              <a:off x="632348" y="6912797"/>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316229</xdr:colOff>
          <xdr:row>21</xdr:row>
          <xdr:rowOff>161192</xdr:rowOff>
        </xdr:from>
        <xdr:to>
          <xdr:col>9</xdr:col>
          <xdr:colOff>253636</xdr:colOff>
          <xdr:row>23</xdr:row>
          <xdr:rowOff>147585</xdr:rowOff>
        </xdr:to>
        <xdr:pic>
          <xdr:nvPicPr>
            <xdr:cNvPr id="8" name="Picture 14">
              <a:extLst>
                <a:ext uri="{FF2B5EF4-FFF2-40B4-BE49-F238E27FC236}">
                  <a16:creationId xmlns:a16="http://schemas.microsoft.com/office/drawing/2014/main" id="{F740918B-9082-4762-8131-4E1FF95A40AE}"/>
                </a:ext>
              </a:extLst>
            </xdr:cNvPr>
            <xdr:cNvPicPr>
              <a:picLocks noChangeAspect="1" noChangeArrowheads="1"/>
              <a:extLst>
                <a:ext uri="{84589F7E-364E-4C9E-8A38-B11213B215E9}">
                  <a14:cameraTool cellRange="Calculations!D135" spid="_x0000_s107876"/>
                </a:ext>
              </a:extLst>
            </xdr:cNvPicPr>
          </xdr:nvPicPr>
          <xdr:blipFill rotWithShape="1">
            <a:blip xmlns:r="http://schemas.openxmlformats.org/officeDocument/2006/relationships" r:embed="rId6"/>
            <a:srcRect l="1774" t="12955" r="2742" b="12146"/>
            <a:stretch>
              <a:fillRect/>
            </a:stretch>
          </xdr:blipFill>
          <xdr:spPr bwMode="auto">
            <a:xfrm>
              <a:off x="5250179" y="4161692"/>
              <a:ext cx="1156607"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34</xdr:row>
          <xdr:rowOff>3809</xdr:rowOff>
        </xdr:from>
        <xdr:to>
          <xdr:col>9</xdr:col>
          <xdr:colOff>297435</xdr:colOff>
          <xdr:row>35</xdr:row>
          <xdr:rowOff>180702</xdr:rowOff>
        </xdr:to>
        <xdr:pic>
          <xdr:nvPicPr>
            <xdr:cNvPr id="9" name="Picture 15">
              <a:extLst>
                <a:ext uri="{FF2B5EF4-FFF2-40B4-BE49-F238E27FC236}">
                  <a16:creationId xmlns:a16="http://schemas.microsoft.com/office/drawing/2014/main" id="{C4DE39F1-5184-4620-BF09-AD2918F4118E}"/>
                </a:ext>
              </a:extLst>
            </xdr:cNvPr>
            <xdr:cNvPicPr>
              <a:picLocks noChangeAspect="1" noChangeArrowheads="1"/>
              <a:extLst>
                <a:ext uri="{84589F7E-364E-4C9E-8A38-B11213B215E9}">
                  <a14:cameraTool cellRange="Calculations!E135" spid="_x0000_s107877"/>
                </a:ext>
              </a:extLst>
            </xdr:cNvPicPr>
          </xdr:nvPicPr>
          <xdr:blipFill rotWithShape="1">
            <a:blip xmlns:r="http://schemas.openxmlformats.org/officeDocument/2006/relationships" r:embed="rId7"/>
            <a:srcRect l="1612" t="8947" r="1612" b="5789"/>
            <a:stretch>
              <a:fillRect/>
            </a:stretch>
          </xdr:blipFill>
          <xdr:spPr bwMode="auto">
            <a:xfrm>
              <a:off x="5257800" y="6480809"/>
              <a:ext cx="1192785"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320040</xdr:colOff>
          <xdr:row>45</xdr:row>
          <xdr:rowOff>118109</xdr:rowOff>
        </xdr:from>
        <xdr:to>
          <xdr:col>9</xdr:col>
          <xdr:colOff>293625</xdr:colOff>
          <xdr:row>47</xdr:row>
          <xdr:rowOff>104502</xdr:rowOff>
        </xdr:to>
        <xdr:pic>
          <xdr:nvPicPr>
            <xdr:cNvPr id="10" name="Picture 16">
              <a:extLst>
                <a:ext uri="{FF2B5EF4-FFF2-40B4-BE49-F238E27FC236}">
                  <a16:creationId xmlns:a16="http://schemas.microsoft.com/office/drawing/2014/main" id="{B1B50E45-0BC7-4A56-8584-798F74BE0886}"/>
                </a:ext>
              </a:extLst>
            </xdr:cNvPr>
            <xdr:cNvPicPr>
              <a:picLocks noChangeAspect="1" noChangeArrowheads="1"/>
              <a:extLst>
                <a:ext uri="{84589F7E-364E-4C9E-8A38-B11213B215E9}">
                  <a14:cameraTool cellRange="Calculations!F135" spid="_x0000_s107878"/>
                </a:ext>
              </a:extLst>
            </xdr:cNvPicPr>
          </xdr:nvPicPr>
          <xdr:blipFill rotWithShape="1">
            <a:blip xmlns:r="http://schemas.openxmlformats.org/officeDocument/2006/relationships" r:embed="rId7"/>
            <a:srcRect l="2097" t="3684" r="1774" b="5790"/>
            <a:stretch>
              <a:fillRect/>
            </a:stretch>
          </xdr:blipFill>
          <xdr:spPr bwMode="auto">
            <a:xfrm>
              <a:off x="5253990" y="8690609"/>
              <a:ext cx="1192785"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3</xdr:col>
          <xdr:colOff>135590</xdr:colOff>
          <xdr:row>30</xdr:row>
          <xdr:rowOff>56025</xdr:rowOff>
        </xdr:from>
        <xdr:to>
          <xdr:col>6</xdr:col>
          <xdr:colOff>321208</xdr:colOff>
          <xdr:row>34</xdr:row>
          <xdr:rowOff>42418</xdr:rowOff>
        </xdr:to>
        <xdr:grpSp>
          <xdr:nvGrpSpPr>
            <xdr:cNvPr id="11" name="Group 10">
              <a:extLst>
                <a:ext uri="{FF2B5EF4-FFF2-40B4-BE49-F238E27FC236}">
                  <a16:creationId xmlns:a16="http://schemas.microsoft.com/office/drawing/2014/main" id="{9741B164-3B32-4BC0-A490-91C9F98DACD6}"/>
                </a:ext>
              </a:extLst>
            </xdr:cNvPr>
            <xdr:cNvGrpSpPr/>
          </xdr:nvGrpSpPr>
          <xdr:grpSpPr>
            <a:xfrm>
              <a:off x="2631140" y="5485275"/>
              <a:ext cx="2014418" cy="710293"/>
              <a:chOff x="2142564" y="5524500"/>
              <a:chExt cx="2014418" cy="706247"/>
            </a:xfrm>
          </xdr:grpSpPr>
          <xdr:pic>
            <xdr:nvPicPr>
              <xdr:cNvPr id="12" name="Picture 23">
                <a:extLst>
                  <a:ext uri="{FF2B5EF4-FFF2-40B4-BE49-F238E27FC236}">
                    <a16:creationId xmlns:a16="http://schemas.microsoft.com/office/drawing/2014/main" id="{310029D8-D718-4725-A512-A6167A03098B}"/>
                  </a:ext>
                </a:extLst>
              </xdr:cNvPr>
              <xdr:cNvPicPr>
                <a:picLocks noChangeAspect="1" noChangeArrowheads="1"/>
                <a:extLst>
                  <a:ext uri="{84589F7E-364E-4C9E-8A38-B11213B215E9}">
                    <a14:cameraTool cellRange="Calculations!D138" spid="_x0000_s107879"/>
                  </a:ext>
                </a:extLst>
              </xdr:cNvPicPr>
            </xdr:nvPicPr>
            <xdr:blipFill rotWithShape="1">
              <a:blip xmlns:r="http://schemas.openxmlformats.org/officeDocument/2006/relationships" r:embed="rId8"/>
              <a:srcRect l="3226" t="7143" r="5644" b="12500"/>
              <a:stretch>
                <a:fillRect/>
              </a:stretch>
            </xdr:blipFill>
            <xdr:spPr bwMode="auto">
              <a:xfrm>
                <a:off x="3000375" y="5614730"/>
                <a:ext cx="1156607" cy="321022"/>
              </a:xfrm>
              <a:prstGeom prst="rect">
                <a:avLst/>
              </a:prstGeom>
              <a:noFill/>
              <a:extLst>
                <a:ext uri="{909E8E84-426E-40DD-AFC4-6F175D3DCCD1}">
                  <a14:hiddenFill>
                    <a:solidFill>
                      <a:srgbClr val="FFFFFF"/>
                    </a:solidFill>
                  </a14:hiddenFill>
                </a:ext>
              </a:extLst>
            </xdr:spPr>
          </xdr:pic>
          <xdr:pic>
            <xdr:nvPicPr>
              <xdr:cNvPr id="13" name="Picture 21">
                <a:extLst>
                  <a:ext uri="{FF2B5EF4-FFF2-40B4-BE49-F238E27FC236}">
                    <a16:creationId xmlns:a16="http://schemas.microsoft.com/office/drawing/2014/main" id="{F9E2DF14-79C7-4C68-A84B-87CEFB0EEDB6}"/>
                  </a:ext>
                </a:extLst>
              </xdr:cNvPr>
              <xdr:cNvPicPr>
                <a:picLocks noChangeAspect="1" noChangeArrowheads="1"/>
                <a:extLst>
                  <a:ext uri="{84589F7E-364E-4C9E-8A38-B11213B215E9}">
                    <a14:cameraTool cellRange="Landfill" spid="_x0000_s107880"/>
                  </a:ext>
                </a:extLst>
              </xdr:cNvPicPr>
            </xdr:nvPicPr>
            <xdr:blipFill rotWithShape="1">
              <a:blip xmlns:r="http://schemas.openxmlformats.org/officeDocument/2006/relationships" r:embed="rId9"/>
              <a:srcRect l="5620" t="5448" r="2952" b="9477"/>
              <a:stretch>
                <a:fillRect/>
              </a:stretch>
            </xdr:blipFill>
            <xdr:spPr bwMode="auto">
              <a:xfrm>
                <a:off x="2142564" y="5524500"/>
                <a:ext cx="1192109" cy="706247"/>
              </a:xfrm>
              <a:prstGeom prst="rect">
                <a:avLst/>
              </a:prstGeom>
              <a:noFill/>
              <a:extLst>
                <a:ext uri="{909E8E84-426E-40DD-AFC4-6F175D3DCCD1}">
                  <a14:hiddenFill>
                    <a:solidFill>
                      <a:srgbClr val="FFFFFF"/>
                    </a:solidFill>
                  </a14:hiddenFill>
                </a:ext>
              </a:extLst>
            </xdr:spPr>
          </xdr:pic>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1226484</xdr:colOff>
          <xdr:row>17</xdr:row>
          <xdr:rowOff>76758</xdr:rowOff>
        </xdr:from>
        <xdr:to>
          <xdr:col>6</xdr:col>
          <xdr:colOff>248290</xdr:colOff>
          <xdr:row>21</xdr:row>
          <xdr:rowOff>63151</xdr:rowOff>
        </xdr:to>
        <xdr:grpSp>
          <xdr:nvGrpSpPr>
            <xdr:cNvPr id="14" name="Group 13">
              <a:extLst>
                <a:ext uri="{FF2B5EF4-FFF2-40B4-BE49-F238E27FC236}">
                  <a16:creationId xmlns:a16="http://schemas.microsoft.com/office/drawing/2014/main" id="{23047F38-563C-4CDA-91A1-C5AD80CE9214}"/>
                </a:ext>
              </a:extLst>
            </xdr:cNvPr>
            <xdr:cNvGrpSpPr/>
          </xdr:nvGrpSpPr>
          <xdr:grpSpPr>
            <a:xfrm>
              <a:off x="2445684" y="3153333"/>
              <a:ext cx="2126956" cy="710293"/>
              <a:chOff x="2131359" y="3115235"/>
              <a:chExt cx="2126956" cy="706247"/>
            </a:xfrm>
          </xdr:grpSpPr>
          <xdr:pic>
            <xdr:nvPicPr>
              <xdr:cNvPr id="15" name="Picture 21">
                <a:extLst>
                  <a:ext uri="{FF2B5EF4-FFF2-40B4-BE49-F238E27FC236}">
                    <a16:creationId xmlns:a16="http://schemas.microsoft.com/office/drawing/2014/main" id="{0BAF5978-E328-422E-93C6-1B1B86E0BEBB}"/>
                  </a:ext>
                </a:extLst>
              </xdr:cNvPr>
              <xdr:cNvPicPr>
                <a:picLocks noChangeAspect="1" noChangeArrowheads="1"/>
                <a:extLst>
                  <a:ext uri="{84589F7E-364E-4C9E-8A38-B11213B215E9}">
                    <a14:cameraTool cellRange="Calculations!A138" spid="_x0000_s107881"/>
                  </a:ext>
                </a:extLst>
              </xdr:cNvPicPr>
            </xdr:nvPicPr>
            <xdr:blipFill rotWithShape="1">
              <a:blip xmlns:r="http://schemas.openxmlformats.org/officeDocument/2006/relationships" r:embed="rId10"/>
              <a:srcRect l="4041" t="6514" r="5048" b="6302"/>
              <a:stretch>
                <a:fillRect/>
              </a:stretch>
            </xdr:blipFill>
            <xdr:spPr bwMode="auto">
              <a:xfrm>
                <a:off x="3060886" y="3252043"/>
                <a:ext cx="1197429" cy="321022"/>
              </a:xfrm>
              <a:prstGeom prst="rect">
                <a:avLst/>
              </a:prstGeom>
              <a:noFill/>
              <a:ln>
                <a:noFill/>
              </a:ln>
              <a:extLst>
                <a:ext uri="{909E8E84-426E-40DD-AFC4-6F175D3DCCD1}">
                  <a14:hiddenFill>
                    <a:solidFill>
                      <a:srgbClr val="FFFFFF"/>
                    </a:solidFill>
                  </a14:hiddenFill>
                </a:ext>
              </a:extLst>
            </xdr:spPr>
          </xdr:pic>
          <xdr:pic>
            <xdr:nvPicPr>
              <xdr:cNvPr id="16" name="Picture 21">
                <a:extLst>
                  <a:ext uri="{FF2B5EF4-FFF2-40B4-BE49-F238E27FC236}">
                    <a16:creationId xmlns:a16="http://schemas.microsoft.com/office/drawing/2014/main" id="{FC9B2371-AFB6-4815-B139-3E2881F115D5}"/>
                  </a:ext>
                </a:extLst>
              </xdr:cNvPr>
              <xdr:cNvPicPr>
                <a:picLocks noChangeAspect="1" noChangeArrowheads="1"/>
                <a:extLst>
                  <a:ext uri="{84589F7E-364E-4C9E-8A38-B11213B215E9}">
                    <a14:cameraTool cellRange="Diversion" spid="_x0000_s107882"/>
                  </a:ext>
                </a:extLst>
              </xdr:cNvPicPr>
            </xdr:nvPicPr>
            <xdr:blipFill rotWithShape="1">
              <a:blip xmlns:r="http://schemas.openxmlformats.org/officeDocument/2006/relationships" r:embed="rId11"/>
              <a:srcRect l="3048" t="3881" r="6475" b="6567"/>
              <a:stretch>
                <a:fillRect/>
              </a:stretch>
            </xdr:blipFill>
            <xdr:spPr bwMode="auto">
              <a:xfrm>
                <a:off x="2131359" y="3115235"/>
                <a:ext cx="1192177" cy="706247"/>
              </a:xfrm>
              <a:prstGeom prst="rect">
                <a:avLst/>
              </a:prstGeom>
              <a:noFill/>
              <a:extLst>
                <a:ext uri="{909E8E84-426E-40DD-AFC4-6F175D3DCCD1}">
                  <a14:hiddenFill>
                    <a:solidFill>
                      <a:srgbClr val="FFFFFF"/>
                    </a:solidFill>
                  </a14:hiddenFill>
                </a:ext>
              </a:extLst>
            </xdr:spPr>
          </xdr:pic>
        </xdr:grpSp>
        <xdr:clientData/>
      </xdr:twoCellAnchor>
    </mc:Choice>
    <mc:Fallback/>
  </mc:AlternateContent>
  <xdr:twoCellAnchor>
    <xdr:from>
      <xdr:col>0</xdr:col>
      <xdr:colOff>327772</xdr:colOff>
      <xdr:row>41</xdr:row>
      <xdr:rowOff>51547</xdr:rowOff>
    </xdr:from>
    <xdr:to>
      <xdr:col>6</xdr:col>
      <xdr:colOff>174812</xdr:colOff>
      <xdr:row>52</xdr:row>
      <xdr:rowOff>54861</xdr:rowOff>
    </xdr:to>
    <xdr:sp macro="" textlink="">
      <xdr:nvSpPr>
        <xdr:cNvPr id="17" name="TextBox 16">
          <a:extLst>
            <a:ext uri="{FF2B5EF4-FFF2-40B4-BE49-F238E27FC236}">
              <a16:creationId xmlns:a16="http://schemas.microsoft.com/office/drawing/2014/main" id="{0070E98D-D58C-4105-8566-7C516A6A2961}"/>
            </a:ext>
          </a:extLst>
        </xdr:cNvPr>
        <xdr:cNvSpPr txBox="1"/>
      </xdr:nvSpPr>
      <xdr:spPr>
        <a:xfrm>
          <a:off x="327772" y="7862047"/>
          <a:ext cx="4171390" cy="20988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t"/>
        <a:lstStyle/>
        <a:p>
          <a:r>
            <a:rPr lang="en-AU" sz="800">
              <a:solidFill>
                <a:schemeClr val="accent4"/>
              </a:solidFill>
            </a:rPr>
            <a:t>The assumptions and estimates</a:t>
          </a:r>
          <a:r>
            <a:rPr lang="en-AU" sz="800" baseline="0">
              <a:solidFill>
                <a:schemeClr val="accent4"/>
              </a:solidFill>
            </a:rPr>
            <a:t> used to compile the Environment Benefits Equivalent calculations have been sourced from The Australian Recycling Sector Report 2012 which was produced by the Department of Sustainability, Environment, Water, Population and Communities. Cleanaway does not warrant the truth or accuracy of the information sourced from this external report.  In cases where customer specific data is unavailable, estimates on the breakup of recyclable materials have been used.</a:t>
          </a:r>
        </a:p>
        <a:p>
          <a:endParaRPr lang="en-AU" sz="800" baseline="0">
            <a:solidFill>
              <a:schemeClr val="accent4"/>
            </a:solidFill>
          </a:endParaRPr>
        </a:p>
        <a:p>
          <a:r>
            <a:rPr lang="en-AU" sz="800" baseline="0">
              <a:solidFill>
                <a:schemeClr val="accent4"/>
              </a:solidFill>
            </a:rPr>
            <a:t>* The Environment Benefits Equivalent figures do not include liquid and hazardous waste streams and only includes solid recycling material.</a:t>
          </a:r>
        </a:p>
        <a:p>
          <a:endParaRPr lang="en-AU" sz="800" baseline="0">
            <a:solidFill>
              <a:schemeClr val="accent4"/>
            </a:solidFill>
          </a:endParaRPr>
        </a:p>
        <a:p>
          <a:r>
            <a:rPr lang="en-AU" sz="800" baseline="0">
              <a:solidFill>
                <a:schemeClr val="accent4"/>
              </a:solidFill>
            </a:rPr>
            <a:t>Factors used:</a:t>
          </a:r>
        </a:p>
        <a:p>
          <a:r>
            <a:rPr lang="en-AU" sz="800" baseline="0">
              <a:solidFill>
                <a:schemeClr val="accent4"/>
              </a:solidFill>
            </a:rPr>
            <a:t>Cars removed - each car removed is equivalent to 5.1 tonnes of CO</a:t>
          </a:r>
          <a:r>
            <a:rPr lang="en-AU" sz="800" baseline="30000">
              <a:solidFill>
                <a:schemeClr val="accent4"/>
              </a:solidFill>
            </a:rPr>
            <a:t>2</a:t>
          </a:r>
          <a:r>
            <a:rPr lang="en-AU" sz="800" baseline="0">
              <a:solidFill>
                <a:schemeClr val="accent4"/>
              </a:solidFill>
            </a:rPr>
            <a:t> eq per year.</a:t>
          </a:r>
        </a:p>
        <a:p>
          <a:r>
            <a:rPr lang="en-AU" sz="800" baseline="0">
              <a:solidFill>
                <a:schemeClr val="accent4"/>
              </a:solidFill>
            </a:rPr>
            <a:t>Electricity savings - annual household electricity requirements is equal to 6000 kWh/year.</a:t>
          </a:r>
        </a:p>
        <a:p>
          <a:r>
            <a:rPr lang="en-AU" sz="800" baseline="0">
              <a:solidFill>
                <a:schemeClr val="accent4"/>
              </a:solidFill>
            </a:rPr>
            <a:t>Water savings - each persons annual usage is equivalent to 256.25 litres of water per day.</a:t>
          </a:r>
          <a:endParaRPr lang="en-AU" sz="800">
            <a:solidFill>
              <a:schemeClr val="accent4"/>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0</xdr:colOff>
      <xdr:row>138</xdr:row>
      <xdr:rowOff>219075</xdr:rowOff>
    </xdr:from>
    <xdr:to>
      <xdr:col>6</xdr:col>
      <xdr:colOff>581025</xdr:colOff>
      <xdr:row>138</xdr:row>
      <xdr:rowOff>219075</xdr:rowOff>
    </xdr:to>
    <xdr:pic>
      <xdr:nvPicPr>
        <xdr:cNvPr id="2" name="Picture 1" descr="Up.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twoCellAnchor>
  <xdr:twoCellAnchor editAs="oneCell">
    <xdr:from>
      <xdr:col>9</xdr:col>
      <xdr:colOff>1000125</xdr:colOff>
      <xdr:row>41</xdr:row>
      <xdr:rowOff>123825</xdr:rowOff>
    </xdr:from>
    <xdr:to>
      <xdr:col>10</xdr:col>
      <xdr:colOff>361950</xdr:colOff>
      <xdr:row>45</xdr:row>
      <xdr:rowOff>28574</xdr:rowOff>
    </xdr:to>
    <xdr:sp macro="" textlink="">
      <xdr:nvSpPr>
        <xdr:cNvPr id="3" name="AutoShape 34">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2715875" y="10858500"/>
          <a:ext cx="542925" cy="6667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6</xdr:col>
      <xdr:colOff>0</xdr:colOff>
      <xdr:row>138</xdr:row>
      <xdr:rowOff>219075</xdr:rowOff>
    </xdr:from>
    <xdr:ext cx="581025" cy="0"/>
    <xdr:pic>
      <xdr:nvPicPr>
        <xdr:cNvPr id="4" name="Picture 3" descr="Up.bmp">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oneCellAnchor>
  <xdr:oneCellAnchor>
    <xdr:from>
      <xdr:col>9</xdr:col>
      <xdr:colOff>1000125</xdr:colOff>
      <xdr:row>41</xdr:row>
      <xdr:rowOff>123825</xdr:rowOff>
    </xdr:from>
    <xdr:ext cx="542925" cy="666750"/>
    <xdr:sp macro="" textlink="">
      <xdr:nvSpPr>
        <xdr:cNvPr id="5" name="AutoShape 34">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2715875" y="10858500"/>
          <a:ext cx="542925" cy="6667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2</xdr:col>
      <xdr:colOff>333375</xdr:colOff>
      <xdr:row>138</xdr:row>
      <xdr:rowOff>142876</xdr:rowOff>
    </xdr:from>
    <xdr:to>
      <xdr:col>2</xdr:col>
      <xdr:colOff>729375</xdr:colOff>
      <xdr:row>138</xdr:row>
      <xdr:rowOff>600076</xdr:rowOff>
    </xdr:to>
    <xdr:sp macro="" textlink="">
      <xdr:nvSpPr>
        <xdr:cNvPr id="6" name="Up Arrow 5">
          <a:extLst>
            <a:ext uri="{FF2B5EF4-FFF2-40B4-BE49-F238E27FC236}">
              <a16:creationId xmlns:a16="http://schemas.microsoft.com/office/drawing/2014/main" id="{00000000-0008-0000-0200-000006000000}"/>
            </a:ext>
          </a:extLst>
        </xdr:cNvPr>
        <xdr:cNvSpPr/>
      </xdr:nvSpPr>
      <xdr:spPr>
        <a:xfrm>
          <a:off x="3581400" y="27870151"/>
          <a:ext cx="396000" cy="457200"/>
        </a:xfrm>
        <a:prstGeom prst="upArrow">
          <a:avLst>
            <a:gd name="adj1" fmla="val 65723"/>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twoCellAnchor>
    <xdr:from>
      <xdr:col>2</xdr:col>
      <xdr:colOff>333375</xdr:colOff>
      <xdr:row>139</xdr:row>
      <xdr:rowOff>171450</xdr:rowOff>
    </xdr:from>
    <xdr:to>
      <xdr:col>2</xdr:col>
      <xdr:colOff>729375</xdr:colOff>
      <xdr:row>139</xdr:row>
      <xdr:rowOff>628650</xdr:rowOff>
    </xdr:to>
    <xdr:sp macro="" textlink="">
      <xdr:nvSpPr>
        <xdr:cNvPr id="7" name="Up Arrow 6">
          <a:extLst>
            <a:ext uri="{FF2B5EF4-FFF2-40B4-BE49-F238E27FC236}">
              <a16:creationId xmlns:a16="http://schemas.microsoft.com/office/drawing/2014/main" id="{00000000-0008-0000-0200-000007000000}"/>
            </a:ext>
          </a:extLst>
        </xdr:cNvPr>
        <xdr:cNvSpPr/>
      </xdr:nvSpPr>
      <xdr:spPr>
        <a:xfrm flipV="1">
          <a:off x="3581400" y="28651200"/>
          <a:ext cx="396000" cy="457200"/>
        </a:xfrm>
        <a:prstGeom prst="upArrow">
          <a:avLst>
            <a:gd name="adj1" fmla="val 69654"/>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355600</xdr:colOff>
      <xdr:row>32</xdr:row>
      <xdr:rowOff>53826</xdr:rowOff>
    </xdr:from>
    <xdr:to>
      <xdr:col>24</xdr:col>
      <xdr:colOff>189442</xdr:colOff>
      <xdr:row>62</xdr:row>
      <xdr:rowOff>144991</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298449</xdr:colOff>
      <xdr:row>2</xdr:row>
      <xdr:rowOff>215898</xdr:rowOff>
    </xdr:from>
    <xdr:to>
      <xdr:col>24</xdr:col>
      <xdr:colOff>129117</xdr:colOff>
      <xdr:row>32</xdr:row>
      <xdr:rowOff>7408</xdr:rowOff>
    </xdr:to>
    <xdr:graphicFrame macro="">
      <xdr:nvGraphicFramePr>
        <xdr:cNvPr id="4" name="Chart 3">
          <a:extLst>
            <a:ext uri="{FF2B5EF4-FFF2-40B4-BE49-F238E27FC236}">
              <a16:creationId xmlns:a16="http://schemas.microsoft.com/office/drawing/2014/main" id="{1D8510D3-86AB-4AC1-8929-F9BA17A5FD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353485</xdr:colOff>
      <xdr:row>1</xdr:row>
      <xdr:rowOff>135256</xdr:rowOff>
    </xdr:from>
    <xdr:to>
      <xdr:col>14</xdr:col>
      <xdr:colOff>394939</xdr:colOff>
      <xdr:row>55</xdr:row>
      <xdr:rowOff>136526</xdr:rowOff>
    </xdr:to>
    <xdr:grpSp>
      <xdr:nvGrpSpPr>
        <xdr:cNvPr id="3" name="Group 2">
          <a:extLst>
            <a:ext uri="{FF2B5EF4-FFF2-40B4-BE49-F238E27FC236}">
              <a16:creationId xmlns:a16="http://schemas.microsoft.com/office/drawing/2014/main" id="{0DAAC669-58A0-45D2-A947-981699C3FC73}"/>
            </a:ext>
          </a:extLst>
        </xdr:cNvPr>
        <xdr:cNvGrpSpPr/>
      </xdr:nvGrpSpPr>
      <xdr:grpSpPr>
        <a:xfrm>
          <a:off x="3782485" y="668656"/>
          <a:ext cx="6632754" cy="5897245"/>
          <a:chOff x="111555" y="2967103"/>
          <a:chExt cx="5143500" cy="7024622"/>
        </a:xfrm>
      </xdr:grpSpPr>
      <xdr:graphicFrame macro="">
        <xdr:nvGraphicFramePr>
          <xdr:cNvPr id="7" name="Chart 3">
            <a:extLst>
              <a:ext uri="{FF2B5EF4-FFF2-40B4-BE49-F238E27FC236}">
                <a16:creationId xmlns:a16="http://schemas.microsoft.com/office/drawing/2014/main" id="{0C93E14E-A68B-48DE-9DF0-A07395742052}"/>
              </a:ext>
            </a:extLst>
          </xdr:cNvPr>
          <xdr:cNvGraphicFramePr>
            <a:graphicFrameLocks/>
          </xdr:cNvGraphicFramePr>
        </xdr:nvGraphicFramePr>
        <xdr:xfrm>
          <a:off x="114301" y="6505575"/>
          <a:ext cx="5124450" cy="348615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2">
            <a:extLst>
              <a:ext uri="{FF2B5EF4-FFF2-40B4-BE49-F238E27FC236}">
                <a16:creationId xmlns:a16="http://schemas.microsoft.com/office/drawing/2014/main" id="{67FB4F94-3B4E-4F92-9CB5-5D7AB732E25F}"/>
              </a:ext>
            </a:extLst>
          </xdr:cNvPr>
          <xdr:cNvGraphicFramePr>
            <a:graphicFrameLocks/>
          </xdr:cNvGraphicFramePr>
        </xdr:nvGraphicFramePr>
        <xdr:xfrm>
          <a:off x="111555" y="2967103"/>
          <a:ext cx="5143500" cy="34480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52</xdr:row>
      <xdr:rowOff>118110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7086600" cy="10024110"/>
        </a:xfrm>
        <a:prstGeom prst="rect">
          <a:avLst/>
        </a:prstGeom>
      </xdr:spPr>
    </xdr:pic>
    <xdr:clientData/>
  </xdr:twoCellAnchor>
  <xdr:twoCellAnchor editAs="absolute">
    <xdr:from>
      <xdr:col>0</xdr:col>
      <xdr:colOff>19049</xdr:colOff>
      <xdr:row>25</xdr:row>
      <xdr:rowOff>0</xdr:rowOff>
    </xdr:from>
    <xdr:to>
      <xdr:col>1</xdr:col>
      <xdr:colOff>9525</xdr:colOff>
      <xdr:row>42</xdr:row>
      <xdr:rowOff>116819</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049" y="4762500"/>
          <a:ext cx="7077076" cy="3355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900000" rIns="900000" rtlCol="0" anchor="t">
          <a:noAutofit/>
        </a:bodyPr>
        <a:lstStyle/>
        <a:p>
          <a:pPr>
            <a:lnSpc>
              <a:spcPts val="1300"/>
            </a:lnSpc>
            <a:spcAft>
              <a:spcPts val="900"/>
            </a:spcAft>
          </a:pPr>
          <a:r>
            <a:rPr lang="en-AU" sz="1100" b="1" i="1">
              <a:solidFill>
                <a:schemeClr val="bg1"/>
              </a:solidFill>
              <a:effectLst/>
              <a:latin typeface="+mn-lt"/>
              <a:ea typeface="+mn-ea"/>
              <a:cs typeface="+mn-cs"/>
            </a:rPr>
            <a:t>Disclaimer</a:t>
          </a:r>
        </a:p>
        <a:p>
          <a:pPr>
            <a:lnSpc>
              <a:spcPts val="1300"/>
            </a:lnSpc>
          </a:pPr>
          <a:r>
            <a:rPr lang="en-AU" sz="1000">
              <a:solidFill>
                <a:schemeClr val="bg1"/>
              </a:solidFill>
              <a:effectLst/>
              <a:latin typeface="+mn-lt"/>
              <a:ea typeface="+mn-ea"/>
              <a:cs typeface="+mn-cs"/>
            </a:rPr>
            <a:t>This report is prepared by Cleanaway Waste Management Ltd (“Cleanaway”) solely for the purpose of providing information on waste statistics and may not be relied on for any other purpose.  While Cleanaway has used reasonable efforts to present information which is accurate and free of errors, Cleanaway makes no representations and gives no warranties (whether express or implied) as to the completeness, accuracy or currency of the information contained in this report to any person.  The report is subject to the limitations, assumptions and qualifications referred to in it.</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and the data expressed in it may not be communicated to, used, adopted, modified or relied upon for any purpose whatsoever by any person other than as agreed in writing by Cleanaway.  Cleanaway does not assume any liability for any loss or damage suffered by any person as a result of the report being used in a contrary manner or being used for an unintended purpose.</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is commercially sensitive, confidential and is the property of Cleanaway.  With the exception of information provided by external sources, Cleanaway retains all applicable intellectual property rights which arise from the creation of report.</a:t>
          </a:r>
        </a:p>
        <a:p>
          <a:r>
            <a:rPr lang="en-AU" sz="1100">
              <a:solidFill>
                <a:schemeClr val="bg1"/>
              </a:solidFill>
              <a:effectLst/>
              <a:latin typeface="+mn-lt"/>
              <a:ea typeface="+mn-ea"/>
              <a:cs typeface="+mn-cs"/>
            </a:rPr>
            <a: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67734</xdr:colOff>
      <xdr:row>4</xdr:row>
      <xdr:rowOff>148167</xdr:rowOff>
    </xdr:from>
    <xdr:to>
      <xdr:col>28</xdr:col>
      <xdr:colOff>165103</xdr:colOff>
      <xdr:row>59</xdr:row>
      <xdr:rowOff>62442</xdr:rowOff>
    </xdr:to>
    <xdr:grpSp>
      <xdr:nvGrpSpPr>
        <xdr:cNvPr id="2" name="Group 1">
          <a:extLst>
            <a:ext uri="{FF2B5EF4-FFF2-40B4-BE49-F238E27FC236}">
              <a16:creationId xmlns:a16="http://schemas.microsoft.com/office/drawing/2014/main" id="{23045BED-D76A-4338-BDCE-EB7919AC4277}"/>
            </a:ext>
          </a:extLst>
        </xdr:cNvPr>
        <xdr:cNvGrpSpPr/>
      </xdr:nvGrpSpPr>
      <xdr:grpSpPr>
        <a:xfrm>
          <a:off x="7306734" y="1319742"/>
          <a:ext cx="12898969" cy="5705475"/>
          <a:chOff x="7641014" y="895350"/>
          <a:chExt cx="12894886" cy="8677275"/>
        </a:xfrm>
      </xdr:grpSpPr>
      <xdr:grpSp>
        <xdr:nvGrpSpPr>
          <xdr:cNvPr id="3" name="Group 2">
            <a:extLst>
              <a:ext uri="{FF2B5EF4-FFF2-40B4-BE49-F238E27FC236}">
                <a16:creationId xmlns:a16="http://schemas.microsoft.com/office/drawing/2014/main" id="{10906112-CBB4-4875-9B46-E605CBA39828}"/>
              </a:ext>
            </a:extLst>
          </xdr:cNvPr>
          <xdr:cNvGrpSpPr/>
        </xdr:nvGrpSpPr>
        <xdr:grpSpPr>
          <a:xfrm>
            <a:off x="7641014" y="922549"/>
            <a:ext cx="6629400" cy="8650076"/>
            <a:chOff x="111555" y="2967103"/>
            <a:chExt cx="5143500" cy="7024622"/>
          </a:xfrm>
        </xdr:grpSpPr>
        <xdr:graphicFrame macro="">
          <xdr:nvGraphicFramePr>
            <xdr:cNvPr id="7" name="Chart 3">
              <a:extLst>
                <a:ext uri="{FF2B5EF4-FFF2-40B4-BE49-F238E27FC236}">
                  <a16:creationId xmlns:a16="http://schemas.microsoft.com/office/drawing/2014/main" id="{B5351A98-AAF0-4537-AF99-FDAD027BCD3F}"/>
                </a:ext>
              </a:extLst>
            </xdr:cNvPr>
            <xdr:cNvGraphicFramePr>
              <a:graphicFrameLocks/>
            </xdr:cNvGraphicFramePr>
          </xdr:nvGraphicFramePr>
          <xdr:xfrm>
            <a:off x="114301" y="6505575"/>
            <a:ext cx="5124450" cy="348615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2">
              <a:extLst>
                <a:ext uri="{FF2B5EF4-FFF2-40B4-BE49-F238E27FC236}">
                  <a16:creationId xmlns:a16="http://schemas.microsoft.com/office/drawing/2014/main" id="{BCCB67EB-EE74-4877-9BDE-DB8150A4152F}"/>
                </a:ext>
              </a:extLst>
            </xdr:cNvPr>
            <xdr:cNvGraphicFramePr>
              <a:graphicFrameLocks/>
            </xdr:cNvGraphicFramePr>
          </xdr:nvGraphicFramePr>
          <xdr:xfrm>
            <a:off x="111555" y="2967103"/>
            <a:ext cx="5143500" cy="3448050"/>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4" name="Group 3">
            <a:extLst>
              <a:ext uri="{FF2B5EF4-FFF2-40B4-BE49-F238E27FC236}">
                <a16:creationId xmlns:a16="http://schemas.microsoft.com/office/drawing/2014/main" id="{4014E393-3CC3-4338-A35C-DB457D8EDCE3}"/>
              </a:ext>
            </a:extLst>
          </xdr:cNvPr>
          <xdr:cNvGrpSpPr/>
        </xdr:nvGrpSpPr>
        <xdr:grpSpPr>
          <a:xfrm>
            <a:off x="14306550" y="895350"/>
            <a:ext cx="6229350" cy="8667750"/>
            <a:chOff x="5314950" y="-619125"/>
            <a:chExt cx="5172075" cy="7010400"/>
          </a:xfrm>
        </xdr:grpSpPr>
        <xdr:graphicFrame macro="">
          <xdr:nvGraphicFramePr>
            <xdr:cNvPr id="5" name="Chart 3">
              <a:extLst>
                <a:ext uri="{FF2B5EF4-FFF2-40B4-BE49-F238E27FC236}">
                  <a16:creationId xmlns:a16="http://schemas.microsoft.com/office/drawing/2014/main" id="{BB100D38-245F-476D-AC0C-263E406E577A}"/>
                </a:ext>
              </a:extLst>
            </xdr:cNvPr>
            <xdr:cNvGraphicFramePr>
              <a:graphicFrameLocks/>
            </xdr:cNvGraphicFramePr>
          </xdr:nvGraphicFramePr>
          <xdr:xfrm>
            <a:off x="5314950" y="2924175"/>
            <a:ext cx="5172075" cy="34671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Chart 2">
              <a:extLst>
                <a:ext uri="{FF2B5EF4-FFF2-40B4-BE49-F238E27FC236}">
                  <a16:creationId xmlns:a16="http://schemas.microsoft.com/office/drawing/2014/main" id="{557DB69C-73DC-40F9-A9BB-28FDE65D7E59}"/>
                </a:ext>
              </a:extLst>
            </xdr:cNvPr>
            <xdr:cNvGraphicFramePr>
              <a:graphicFrameLocks/>
            </xdr:cNvGraphicFramePr>
          </xdr:nvGraphicFramePr>
          <xdr:xfrm>
            <a:off x="5334001" y="-619125"/>
            <a:ext cx="5143500" cy="3448050"/>
          </xdr:xfrm>
          <a:graphic>
            <a:graphicData uri="http://schemas.openxmlformats.org/drawingml/2006/chart">
              <c:chart xmlns:c="http://schemas.openxmlformats.org/drawingml/2006/chart" xmlns:r="http://schemas.openxmlformats.org/officeDocument/2006/relationships" r:id="rId4"/>
            </a:graphicData>
          </a:graphic>
        </xdr:graphicFrame>
      </xdr:grp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Uniting%20Care\2018-19%20FY\201809\201809%20Uniting%20Care%20Consolidated%20Waste%20Report%20September%202018.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Mjones\Desktop\2A%20SAMPLE%20-%20Monthly%20Consolidated%20Waste%20Report%2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id%20Market%20-%20YTD%20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napshot"/>
      <sheetName val="Calculations"/>
      <sheetName val="Data Source"/>
      <sheetName val="Uniting Care QLD FYTD"/>
      <sheetName val="Curr Month Summary"/>
      <sheetName val="Wesley Hospital FYTD"/>
      <sheetName val="St Andrews Hospital FYTD"/>
      <sheetName val="St Stephens Hospital FYTD"/>
      <sheetName val="Buderim Hospital FYTD"/>
      <sheetName val="WesleyLinenServ FYTD"/>
      <sheetName val="UCC&amp;Lifeline FYTD"/>
      <sheetName val="Blue Care FYTD"/>
      <sheetName val="Uniting Care Other Sites"/>
      <sheetName val="Transactional Data"/>
      <sheetName val="Back Cov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napshot"/>
      <sheetName val="Calculations"/>
      <sheetName val="YTD Summary"/>
      <sheetName val="Current Mth Summary"/>
      <sheetName val="Data Source"/>
      <sheetName val="Transaction Data"/>
      <sheetName val="Back Cover"/>
    </sheetNames>
    <sheetDataSet>
      <sheetData sheetId="0"/>
      <sheetData sheetId="1"/>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d Market - YTD Data"/>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amya Devaraj" refreshedDate="44972.539558912038" createdVersion="6" refreshedVersion="8" minRefreshableVersion="3" recordCount="1798" xr:uid="{833278B5-B9A0-4180-B8D9-D7A582EA0EFA}">
  <cacheSource type="worksheet">
    <worksheetSource ref="A3:L1048576" sheet="Transaction Data"/>
  </cacheSource>
  <cacheFields count="12">
    <cacheField name="Transaction Month" numFmtId="0">
      <sharedItems containsBlank="1" count="78">
        <s v="Jul 21"/>
        <s v="Aug 21"/>
        <s v="Sep 21"/>
        <s v="Oct 21"/>
        <s v="Nov 21"/>
        <s v="Dec 21"/>
        <s v="Jan 22"/>
        <s v="Feb 22"/>
        <s v="Mar 22"/>
        <s v="Apr 22"/>
        <s v="May 22"/>
        <s v="Jun 22"/>
        <s v="Jul 22"/>
        <s v="Aug 22"/>
        <s v="Sep 22"/>
        <s v="Oct 22"/>
        <s v="Nov 22"/>
        <s v="Dec 22"/>
        <s v="Jan 23"/>
        <m/>
        <s v="Feb-20" u="1"/>
        <s v="Aug-18" u="1"/>
        <s v="Jul-22" u="1"/>
        <s v="Jun-22" u="1"/>
        <s v="Jan-22" u="1"/>
        <s v="Dec 19" u="1"/>
        <s v="Oct-20" u="1"/>
        <s v="Apr-22" u="1"/>
        <s v="Nov 19" u="1"/>
        <s v="Sep-22" u="1"/>
        <s v="Oct-18" u="1"/>
        <s v="Dec-21" u="1"/>
        <s v="Nov-21" u="1"/>
        <s v="Aug-22" u="1"/>
        <s v="Mar-22" u="1"/>
        <s v="Dec-19" u="1"/>
        <s v="Jul-21" u="1"/>
        <s v="May-22" u="1"/>
        <s v="Jun-21" u="1"/>
        <s v="Jan-21" u="1"/>
        <s v="Nov-19" u="1"/>
        <s v="Feb-22" u="1"/>
        <s v="Apr-21" u="1"/>
        <s v="Jan 20" u="1"/>
        <s v="Jul-19" u="1"/>
        <s v="Jun-19" u="1"/>
        <s v="Jan-19" u="1"/>
        <s v="Sep-21" u="1"/>
        <s v="Oct-22" u="1"/>
        <s v="Apr-19" u="1"/>
        <s v="Dec-20" u="1"/>
        <s v="Nov-20" u="1"/>
        <s v="Sep-19" u="1"/>
        <s v="Aug-21" u="1"/>
        <s v="Mar-21" u="1"/>
        <s v="Dec-18" u="1"/>
        <s v="Jul-20" u="1"/>
        <s v="May-21" u="1"/>
        <s v="Jun-20" u="1"/>
        <s v="Jan-20" u="1"/>
        <s v="Nov-18" u="1"/>
        <s v="Oct 19" u="1"/>
        <s v="Feb-21" u="1"/>
        <s v="Aug-19" u="1"/>
        <s v="Apr-20" u="1"/>
        <s v="Mar-19" u="1"/>
        <s v="Jul-18" u="1"/>
        <s v="May-19" u="1"/>
        <s v="Sep-20" u="1"/>
        <s v="Oct-21" u="1"/>
        <s v="Feb-19" u="1"/>
        <s v="Sep-18" u="1"/>
        <s v="Aug-20" u="1"/>
        <s v="Mar-20" u="1"/>
        <s v="Oct-19" u="1"/>
        <s v="Dec-22" u="1"/>
        <s v="May-20" u="1"/>
        <s v="Nov-22" u="1"/>
      </sharedItems>
    </cacheField>
    <cacheField name="Account Number" numFmtId="0">
      <sharedItems containsString="0" containsBlank="1" containsNumber="1" containsInteger="1" minValue="10211316" maxValue="80766077" count="104">
        <n v="10211316"/>
        <n v="10239765"/>
        <n v="10254159"/>
        <m/>
        <n v="18289990" u="1"/>
        <n v="48949602" u="1"/>
        <n v="19027872" u="1"/>
        <n v="48949558" u="1"/>
        <n v="48950197" u="1"/>
        <n v="48949922" u="1"/>
        <n v="48953085" u="1"/>
        <n v="32898233" u="1"/>
        <n v="48949591" u="1"/>
        <n v="48949955" u="1"/>
        <n v="48949911" u="1"/>
        <n v="18797335" u="1"/>
        <n v="32504128" u="1"/>
        <n v="48950275" u="1"/>
        <n v="32504106" u="1"/>
        <n v="76079338" u="1"/>
        <n v="18296327" u="1"/>
        <n v="48953107" u="1"/>
        <n v="80566126" u="1"/>
        <n v="28152163" u="1"/>
        <n v="32858487" u="1"/>
        <n v="32884180" u="1"/>
        <n v="53655872" u="1"/>
        <n v="32774686" u="1"/>
        <n v="18778752" u="1"/>
        <n v="28223684" u="1"/>
        <n v="48950087" u="1"/>
        <n v="73330595" u="1"/>
        <n v="18782500" u="1"/>
        <n v="72993001" u="1"/>
        <n v="33062285" u="1"/>
        <n v="48952567" u="1"/>
        <n v="48786741" u="1"/>
        <n v="76094450" u="1"/>
        <n v="48949514" u="1"/>
        <n v="48950153" u="1"/>
        <n v="53916775" u="1"/>
        <n v="32701698" u="1"/>
        <n v="48949834" u="1"/>
        <n v="73050845" u="1"/>
        <n v="32857649" u="1"/>
        <n v="73111796" u="1"/>
        <n v="32857627" u="1"/>
        <n v="48949547" u="1"/>
        <n v="48950186" u="1"/>
        <n v="48949867" u="1"/>
        <n v="48959611" u="1"/>
        <n v="18289979" u="1"/>
        <n v="18707803" u="1"/>
        <n v="19027861" u="1"/>
        <n v="48953989" u="1"/>
        <n v="48949900" u="1"/>
        <n v="48949657" u="1"/>
        <n v="48950296" u="1"/>
        <n v="48683519" u="1"/>
        <n v="48949581" u="1"/>
        <n v="48949613" u="1"/>
        <n v="48950220" u="1"/>
        <n v="60289037" u="1"/>
        <n v="48949933" u="1"/>
        <n v="48953096" u="1"/>
        <n v="48950253" u="1"/>
        <n v="48950010" u="1"/>
        <n v="73050834" u="1"/>
        <n v="80734576" u="1"/>
        <n v="32997519" u="1"/>
        <n v="48950043" u="1"/>
        <n v="73202310" u="1"/>
        <n v="48949724" u="1"/>
        <n v="48949756" u="1"/>
        <n v="28278806" u="1"/>
        <n v="28462025" u="1"/>
        <n v="48949680" u="1"/>
        <n v="18754581" u="1"/>
        <n v="48950076" u="1"/>
        <n v="48949789" u="1"/>
        <n v="80559976" u="1"/>
        <n v="32802605" u="1"/>
        <n v="80766077" u="1"/>
        <n v="13798893" u="1"/>
        <n v="19093464" u="1"/>
        <n v="48949778" u="1"/>
        <n v="48950142" u="1"/>
        <n v="48955785" u="1"/>
        <n v="48789959" u="1"/>
        <n v="18289989" u="1"/>
        <n v="33056642" u="1"/>
        <n v="48685558" u="1"/>
        <n v="48949492" u="1"/>
        <n v="32802638" u="1"/>
        <n v="19385306" u="1"/>
        <n v="48949888" u="1"/>
        <n v="19027849" u="1"/>
        <n v="48949569" u="1"/>
        <n v="48950208" u="1"/>
        <n v="48953978" u="1"/>
        <n v="48950132" u="1"/>
        <n v="48950164" u="1"/>
        <n v="80745234" u="1"/>
        <n v="80374739" u="1"/>
      </sharedItems>
    </cacheField>
    <cacheField name="Site Name" numFmtId="0">
      <sharedItems containsBlank="1" count="101">
        <s v="Rockhampton Grammar School RGS"/>
        <s v="Rockhampton Grammar Sch Rowing"/>
        <m/>
        <s v="Adairs Frankston Power Station" u="1"/>
        <s v="Adairs -  Midland" u="1"/>
        <s v="Adairs Keysborough DC" u="1"/>
        <s v="Adairs - Osborne Park" u="1"/>
        <s v="TC Luong - Store 56" u="1"/>
        <s v="Mercurio Bros H2" u="1"/>
        <s v="Parker &amp; Sons Sales Pty Ltd" u="1"/>
        <s v="Rositers T10" u="1"/>
        <s v="Bache Bros H4" u="1"/>
        <s v="Hi Tech Store 3 &amp; 4" u="1"/>
        <s v="United Fresh - Store 57" u="1"/>
        <s v="SA Mushrooms - Store 17" u="1"/>
        <s v="Mondello Produce - Store 15" u="1"/>
        <s v="Jammal - Store 2" u="1"/>
        <s v="Adairs Retail Group" u="1"/>
        <s v="Adairs Homemakers Parkdale" u="1"/>
        <s v="Merchant St Wholesale-Store 29" u="1"/>
        <s v="Adairs Homemaker Centre" u="1"/>
        <s v="Adairs Homemakers Mornington" u="1"/>
        <s v="George Polverino - Store 11" u="1"/>
        <s v="Urban Republic - Malvern" u="1"/>
        <s v="Morco Produce H3" u="1"/>
        <s v="Adairs Busselton" u="1"/>
        <s v="SAPML Compound" u="1"/>
        <s v="Bache Bros - Store 5,6,7,8" u="1"/>
        <s v="Adairs -  Myaree" u="1"/>
        <s v="Adairs Kangaroo Flat" u="1"/>
        <s v="Adairs Scoresby DC" u="1"/>
        <s v="Sapm Grower Pavillion F9-F10" u="1"/>
        <s v="Adairs Millner" u="1"/>
        <s v="R Ceravolo Store 52,53,54,55" u="1"/>
        <s v="Urban Home Republic" u="1"/>
        <s v="Adairs Moorabbin Airport DC" u="1"/>
        <s v="SAPML Operations" u="1"/>
        <s v="Alonia Produce" u="1"/>
        <s v="Adairs Essendon Airport" u="1"/>
        <s v="GT Produce - Store 23,24" u="1"/>
        <s v="Adairs Noosa Civic Emporium" u="1"/>
        <s v="Adairs Mittagong" u="1"/>
        <s v="Adairs" u="1"/>
        <s v="Pogas Produce - Store 42" u="1"/>
        <s v="Nochelle Foods - Shed K" u="1"/>
        <s v="Deandy Packaging D9" u="1"/>
        <s v="Adairs Homemaker" u="1"/>
        <s v="Adairs Moorabbin" u="1"/>
        <s v="Adairs Camberwell" u="1"/>
        <s v="RB Rotolo - Store 1" u="1"/>
        <s v="Farmhouse Fresh - Store 19,20" u="1"/>
        <s v="Russo Produce - Store 33" u="1"/>
        <s v="Adairs Homemakers" u="1"/>
        <s v="Bombardier Transport Aus P/L" u="1"/>
        <s v="Zerella Holdings - Store 28" u="1"/>
        <s v="Royal Hospital for Women" u="1"/>
        <s v="Mercurio Bros - Store 14" u="1"/>
        <s v="Ac Gibson - Store 41" u="1"/>
        <s v="Adairs Homemakers Kotara" u="1"/>
        <s v="LaManna Premier Group Warehous" u="1"/>
        <s v="Fresh Fruit For You - Store 50" u="1"/>
        <s v="Adairs - Frankston" u="1"/>
        <s v="Adairs Shellharbour" u="1"/>
        <s v="Fruitorama - Store 30" u="1"/>
        <s v="Adairs Dandenong South DC" u="1"/>
        <s v="Lamanna Bananas - Store 31" u="1"/>
        <s v="Adairs Claremont" u="1"/>
        <s v="Adairs Waurn Ponds" u="1"/>
        <s v="Rainbow Fresh - Store 18" u="1"/>
        <s v="Costa Farms - Store 25,26" u="1"/>
        <s v="Adairs Rutherford" u="1"/>
        <s v="Cordina Hatchery" u="1"/>
        <s v="Adairs - Kids" u="1"/>
        <s v="Adairs Retail Group Pty Ltd" u="1"/>
        <s v="Adairs Helensvale" u="1"/>
        <s v="Stramare Produce - Store 49" u="1"/>
        <s v="BD &amp; MD Nicol - Store 35-36" u="1"/>
        <s v="SAPM Cafe" u="1"/>
        <s v="Adairs - Jandakot" u="1"/>
        <s v="PE Scalzi -STORE44,45,46,47,48" u="1"/>
        <s v="Cordina Foods" u="1"/>
        <s v="Adairs Bunbury" u="1"/>
        <s v="Flavell - Store 43" u="1"/>
        <s v="Adairs - Beckenham" u="1"/>
        <s v="DG Bins" u="1"/>
        <s v="Adairs Warrnambool" u="1"/>
        <s v="D&amp;G Fresh Fruit Distributors" u="1"/>
        <s v="Adairs Homemakers Coffs Hbr" u="1"/>
        <s v="Cordina Chickens" u="1"/>
        <s v="IG Fresh - Store 22" u="1"/>
        <s v="D&amp;G Fresh Fruits H7" u="1"/>
        <s v="Foodbank" u="1"/>
        <s v="Adairs Homemakers Tuggerah" u="1"/>
        <s v="Adairs Jindalee Homemaker" u="1"/>
        <s v="Adairs House of Linen" u="1"/>
        <s v="All Fresh - H5" u="1"/>
        <s v="Adairs- Preston" u="1"/>
        <s v="Adairs - Mornington" u="1"/>
        <s v="Adairs Bundall" u="1"/>
        <s v="Deep Cut Pty Ltd" u="1"/>
        <s v="Adairs Richmond" u="1"/>
      </sharedItems>
    </cacheField>
    <cacheField name="Site City" numFmtId="0">
      <sharedItems containsBlank="1"/>
    </cacheField>
    <cacheField name="Waste Category" numFmtId="0">
      <sharedItems containsBlank="1" count="20">
        <s v="General"/>
        <s v="Fee's/Charges"/>
        <m/>
        <s v="Plastic" u="1"/>
        <s v="Timber" u="1"/>
        <s v="Paper/Cardboard" u="1"/>
        <s v="Hygiene" u="1"/>
        <s v="Liquids" u="1"/>
        <s v="Contaminated" u="1"/>
        <s v="Cardboard" u="1"/>
        <s v="Glass" u="1"/>
        <s v="Paper" u="1"/>
        <s v="Confidential" u="1"/>
        <s v="Recycle" u="1"/>
        <s v="Organic" u="1"/>
        <s v="Liquid" u="1"/>
        <s v="Metal" u="1"/>
        <s v="Harvest" u="1"/>
        <s v="Gun Washer" u="1"/>
        <s v="Commingle" u="1"/>
      </sharedItems>
    </cacheField>
    <cacheField name="Transaction Date" numFmtId="180">
      <sharedItems containsBlank="1"/>
    </cacheField>
    <cacheField name="Description" numFmtId="0">
      <sharedItems containsBlank="1" count="198">
        <s v="Bin Blocked 4.5m Bin"/>
        <s v="Clear 4.5M Bin"/>
        <s v="Environmental Fee"/>
        <s v="Clear 3.0M Bin"/>
        <s v="Waste Plus(Excess Weight)"/>
        <s v="Service Declined 4.5m Bin"/>
        <s v="Safety Location 4.5m Bin"/>
        <s v="Exchange 4.5M Bin"/>
        <s v="Charge Weekend Service"/>
        <m/>
        <s v="Fuel Surcharge RoRo" u="1"/>
        <s v="Clear 12M Skip Bin" u="1"/>
        <s v="Clear 15M Skip Bin" u="1"/>
        <s v="Rent Monthly 240LT Conf C" u="1"/>
        <s v="Clear 1100LT Cart" u="1"/>
        <s v="Service Declined 1.5m Org" u="1"/>
        <s v="Safety Location 1.5m Bin" u="1"/>
        <s v="Bin Not Out 1.1m Bin" u="1"/>
        <s v="Mth Charge Man SaniPod" u="1"/>
        <s v="Install Manual Femcare" u="1"/>
        <s v="Bin Contaminated 3.0m Rec" u="1"/>
        <s v="Clear 660LT cart" u="1"/>
        <s v="Tip P/Tonne 23M Bin" u="1"/>
        <s v="Waste In Bin On Exchange" u="1"/>
        <s v="Charge Attendance" u="1"/>
        <s v="Bin Not Out 4.5m Bin" u="1"/>
        <s v="Tip P/Tonne 20M Packer" u="1"/>
        <s v="Transportation P/Hour" u="1"/>
        <s v="Fuel Surcharge Rear/Other" u="1"/>
        <s v="Service Auto Sanipod" u="1"/>
        <s v="Sale of 120LT Cart" u="1"/>
        <s v="Clear 20M Packer" u="1"/>
        <s v="Tip P/Tonne 30M Recycle" u="1"/>
        <s v="Exchange 1100LT Cart" u="1"/>
        <s v="Clear 30M Recycle Bin" u="1"/>
        <s v="Clear 120LT Co-Mingle Car" u="1"/>
        <s v="Clear 240LT Co-Mingle Car" u="1"/>
        <s v="Clear 660LT Co-Mingle Car" u="1"/>
        <s v="Exchange 1.5M Bin" u="1"/>
        <s v="Deliver 30M Recycle Bin" u="1"/>
        <s v="Paper Invoice Fee" u="1"/>
        <s v="Deliver 12M Skip Bin" u="1"/>
        <s v="Deliver 15M Skip Bin" u="1"/>
        <s v="Bin Blocked 1.5m Bin" u="1"/>
        <s v="Bin Not Out 1.5m Bin" u="1"/>
        <s v="Partial service 3.0m Recy" u="1"/>
        <s v="Rent 1.5M Bin" u="1"/>
        <s v="Gate Closed 1100lt Recycl" u="1"/>
        <s v="Gate Closed 3.0m Bin" u="1"/>
        <s v="Partial service 1.5m Co-m" u="1"/>
        <s v="Bin Not Out 240lt Cart" u="1"/>
        <s v="Liquid Service P/Load" u="1"/>
        <s v="Clear 3.0M Rec Nil Charge" u="1"/>
        <s v="Clear 4.5M Rec Nil Charge" u="1"/>
        <s v="Clear 4.5M Bin (HL)" u="1"/>
        <s v="Clear 7.5M Bin (HL)" u="1"/>
        <s v="Partial service 240lt Car" u="1"/>
        <s v="Waste in Bin On Removal" u="1"/>
        <s v="Service Declined 1.5m Bin" u="1"/>
        <s v="Clear 1100LT Recycle Cart" u="1"/>
        <s v="Deliver 6.0M Skip Bin" u="1"/>
        <s v="Tip P/Tonne 22M Bin" u="1"/>
        <s v="Clear 1.5M Recycle Bin" u="1"/>
        <s v="Clear 3.0M Recycle Bin" u="1"/>
        <s v="Clear 4.5M Recycle Bin" u="1"/>
        <s v="Clear 6.0M Recycle Bin" u="1"/>
        <s v="Service Declined 1.5m Co-" u="1"/>
        <s v="Service Declined 3.0m Org" u="1"/>
        <s v="Deliver 3.0M Bin" u="1"/>
        <s v="Waste Oil Service P/Load" u="1"/>
        <s v="Transportation P/Load" u="1"/>
        <s v="Service Parts Washer P/Ld" u="1"/>
        <s v="Clear 22M Bin" u="1"/>
        <s v="Clear 1.5M Bin" u="1"/>
        <s v="Gate Closed 1.1m Bin" u="1"/>
        <s v="Tip P/Tonne 3.0M Bin" u="1"/>
        <s v="Clear 15M Bin" u="1"/>
        <s v="Clear 25M Bin" u="1"/>
        <s v="Install Manual SaniPod" u="1"/>
        <s v="Service Declined 1.5m Rec" u="1"/>
        <s v="Bin Cleaning" u="1"/>
        <s v="Rent Monthly 4.5M Bin" u="1"/>
        <s v="Partial service Tip P/ton" u="1"/>
        <s v="Deliver 4.5M Bin" u="1"/>
        <s v="Tip P/KG Waste" u="1"/>
        <s v="Clear 240LT Cart" u="1"/>
        <s v="Clear 8.0M Packer (HL)" u="1"/>
        <s v="Gate Closed 4.5m Bin" u="1"/>
        <s v="Clear 1.1M Bin" u="1"/>
        <s v="Tip P/Tonne 1.5M Org Bin" u="1"/>
        <s v="Tip P/Tonne 3.0M Org Bin" u="1"/>
        <s v="Partial service 1.5m Bin" u="1"/>
        <s v="Bin Not Out 1100lt Cart" u="1"/>
        <s v="Sundry Item - Poly bags" u="1"/>
        <s v="Liquid Service P/KLT" u="1"/>
        <s v="Bin Blocked 3.0m Recycle" u="1"/>
        <s v="Bin Blocked 4.5m Recycle" u="1"/>
        <s v="Bin Not Out 3.0m Recycle" u="1"/>
        <s v="Clear 4.0M Bin" u="1"/>
        <s v="Empty 4.5m Bin" u="1"/>
        <s v="Service Sanitary Bin" u="1"/>
        <s v="Fuel Surcharge Front Lift" u="1"/>
        <s v="Service Manual Sanipod" u="1"/>
        <s v="Clear 30M Recycle Bin - Contaminated" u="1"/>
        <s v="Fuel Surcharge Rear Lift" u="1"/>
        <s v="Exchange 3.0M Bin" u="1"/>
        <s v="Locked Bin 3.0m Bin" u="1"/>
        <s v="Bars \ Locks \ Keys" u="1"/>
        <s v="Rent 3.0M Skip Bin" u="1"/>
        <s v="Gate Closed 240lt Cart" u="1"/>
        <s v="Tip P/Tonne 4.5M Bin (HL)" u="1"/>
        <s v="Tip P/Tonne 7.5M Bin (HL)" u="1"/>
        <s v="Service Declined 3.0m Bin" u="1"/>
        <s v="Bin Not At Location 240lt" u="1"/>
        <s v="Rent Mthly 240LT PaperRec" u="1"/>
        <s v="Rent 10M Bin (HL)" u="1"/>
        <s v="Clear 30M Recycle Bin - Clean Timber" u="1"/>
        <s v="Tip P/Tonne 30M Recycle - Clean Timber" u="1"/>
        <s v="Cont Serv Manual Femcare" u="1"/>
        <s v="Service Declined 240lt Ca" u="1"/>
        <s v="Fuel Surcharge Co-Mingle" u="1"/>
        <s v="Tip P/Tonne 1.5M Bin" u="1"/>
        <s v="Service Declined 3.0m Rec" u="1"/>
        <s v="Clear 20M Bin" u="1"/>
        <s v="Removal of Drums" u="1"/>
        <s v="Bin Not Out 240lt Organic" u="1"/>
        <s v="Bin Not Out 660lt Organic" u="1"/>
        <s v="Clear 30M Bin" u="1"/>
        <s v="Tip P/Tonne 30M Bin" u="1"/>
        <s v="Deliver 23M Bin (HL)" u="1"/>
        <s v="Deliver 31M Bin (HL)" u="1"/>
        <s v="Partial service 3.0m Co-m" u="1"/>
        <s v="Partial service 660lt Org" u="1"/>
        <s v="Clear 23M Bin" u="1"/>
        <s v="Tip P/Tonne 25M Bin" u="1"/>
        <s v="Clear 3.0M Skip Nil Chg" u="1"/>
        <s v="Tip P/Tonne 20M Bin" u="1"/>
        <s v="Rent 3.0M Recycle Bin" u="1"/>
        <s v="Gate Closed 1100lt Co-min" u="1"/>
        <s v="Tip P/Tonne 15M Bin" u="1"/>
        <s v="Service 22LT Sanitary Bin" u="1"/>
        <s v="Service 29LT Sanitary Bin" u="1"/>
        <s v="Bin Not Out 240lt Co-ming" u="1"/>
        <s v="Sundry Item" u="1"/>
        <s v="Safety Bin Overloaded 3.0" u="1"/>
        <s v="Mth Charge Man Femcare" u="1"/>
        <s v="Gate Closed 3.0m Recycle" u="1"/>
        <s v="Clear 1.5M Organic Bin" u="1"/>
        <s v="Clear 3.0M Organic Bin" u="1"/>
        <s v="Partial service 1.5m Recy" u="1"/>
        <s v="Clear 120LT Recycle Cart" u="1"/>
        <s v="Clear 240LT Recycle Cart" u="1"/>
        <s v="Clear 660LT Recycle Cart" u="1"/>
        <s v="Rent 30M Bin" u="1"/>
        <s v="Bin Contaminated 4.5m Rec" u="1"/>
        <s v="Partial service 1100lt Co" u="1"/>
        <s v="Rent 20M Packer" u="1"/>
        <s v="Empty 240lt Co-mingle Car" u="1"/>
        <s v="Rent 1.5M Tippler Bin" u="1"/>
        <s v="On-call Booking Charge" u="1"/>
        <s v="Clear 30M Bin Nil Charge" u="1"/>
        <s v="Clear 240LT Organics" u="1"/>
        <s v="Clear 660LT Organics" u="1"/>
        <s v="Bin Not Out 660lt Cart" u="1"/>
        <s v="Deliver Cardboard RecyBox" u="1"/>
        <s v="Rent Monthly 240LT Co-Min" u="1"/>
        <s v="Rebate for Cardboard" u="1"/>
        <s v="Clear Bale" u="1"/>
        <s v="Partial service 3.0m Bin" u="1"/>
        <s v="Credit Adjustment" u="1"/>
        <s v="Tip P/Qty Drums-Other" u="1"/>
        <s v="Deliver 23M Bin" u="1"/>
        <s v="Tip P/Tonne 22M Bin (HL)" u="1"/>
        <s v="Tip P/Tonne 23M Bin (HL)" u="1"/>
        <s v="Tip P/Tonne 25M Bin (HL)" u="1"/>
        <s v="Tip P/Tonne 8.0M Packer" u="1"/>
        <s v="Tip P/Tonne 1.5M Recycle" u="1"/>
        <s v="Tip P/Tonne 3.0M Recycle" u="1"/>
        <s v="Bin Blocked 1100lt Recycl" u="1"/>
        <s v="Bin Not Out 1100lt Recycl" u="1"/>
        <s v="Bin Blocked 3.0m Bin" u="1"/>
        <s v="Bin Not Out 3.0m Bin" u="1"/>
        <s v="Rent 8.0M Packer (HL)" u="1"/>
        <s v="Clear 1.5M Co-Mingle Bin" u="1"/>
        <s v="Clear 3.0M Co-Mingle Bin" u="1"/>
        <s v="Clear 1100LT Co-Mingle Ca" u="1"/>
        <s v="Empty 3.0m Recycle Bin" u="1"/>
        <s v="Rent 30M Recycle Bin" u="1"/>
        <s v="Partial service 240lt Org" u="1"/>
        <s v="Waste Clearance Charge" u="1"/>
        <s v="Clear 10M Bin (HL)" u="1"/>
        <s v="Clear 22M Bin (HL)" u="1"/>
        <s v="Clear 23M Bin (HL)" u="1"/>
        <s v="Clear 25M Bin (HL)" u="1"/>
        <s v="Clear 31M Bin (HL)" u="1"/>
        <s v="Tip Extra Charge" u="1"/>
        <s v="Clear 120LT Conf Cart" u="1"/>
        <s v="Clear 240LT Conf Cart" u="1"/>
      </sharedItems>
    </cacheField>
    <cacheField name="Unit Amount" numFmtId="167">
      <sharedItems containsString="0" containsBlank="1" containsNumber="1" minValue="-1160" maxValue="1600" count="318">
        <n v="121.56"/>
        <n v="150"/>
        <n v="116.21"/>
        <n v="78"/>
        <n v="8.6"/>
        <n v="84"/>
        <n v="108.4"/>
        <n v="138.30000000000001"/>
        <n v="112.2"/>
        <n v="0"/>
        <n v="85.53"/>
        <n v="15"/>
        <n v="125.02"/>
        <n v="98.5"/>
        <m/>
        <n v="28.7" u="1"/>
        <n v="25" u="1"/>
        <n v="21.3" u="1"/>
        <n v="219.85" u="1"/>
        <n v="36.200000000000003" u="1"/>
        <n v="30.4" u="1"/>
        <n v="73.819999999999993" u="1"/>
        <n v="65.819999999999993" u="1"/>
        <n v="24.7" u="1"/>
        <n v="88.59" u="1"/>
        <n v="230.8" u="1"/>
        <n v="21" u="1"/>
        <n v="44.52" u="1"/>
        <n v="650" u="1"/>
        <n v="321" u="1"/>
        <n v="19" u="1"/>
        <n v="193.9" u="1"/>
        <n v="34.5" u="1"/>
        <n v="48.06" u="1"/>
        <n v="175" u="1"/>
        <n v="51.46" u="1"/>
        <n v="7.09" u="1"/>
        <n v="257" u="1"/>
        <n v="15.5" u="1"/>
        <n v="59" u="1"/>
        <n v="64.73" u="1"/>
        <n v="75.599999999999994" u="1"/>
        <n v="75.739999999999995" u="1"/>
        <n v="1" u="1"/>
        <n v="14.5" u="1"/>
        <n v="55" u="1"/>
        <n v="208.28" u="1"/>
        <n v="44.84" u="1"/>
        <n v="85.3" u="1"/>
        <n v="393.8" u="1"/>
        <n v="13.5" u="1"/>
        <n v="5.4" u="1"/>
        <n v="360.65" u="1"/>
        <n v="38.01" u="1"/>
        <n v="95" u="1"/>
        <n v="61.8" u="1"/>
        <n v="199.8" u="1"/>
        <n v="12.5" u="1"/>
        <n v="454" u="1"/>
        <n v="59.18" u="1"/>
        <n v="259" u="1"/>
        <n v="59.25" u="1"/>
        <n v="11.5" u="1"/>
        <n v="39" u="1"/>
        <n v="49.73" u="1"/>
        <n v="85.8" u="1"/>
        <n v="3.95" u="1"/>
        <n v="42.4" u="1"/>
        <n v="47.04" u="1"/>
        <n v="313.33999999999997" u="1"/>
        <n v="12.2" u="1"/>
        <n v="47.25" u="1"/>
        <n v="660" u="1"/>
        <n v="99.4" u="1"/>
        <n v="8.5" u="1"/>
        <n v="58.05" u="1"/>
        <n v="921" u="1"/>
        <n v="25.73" u="1"/>
        <n v="134.02000000000001" u="1"/>
        <n v="1600" u="1"/>
        <n v="1.8" u="1"/>
        <n v="90.09" u="1"/>
        <n v="62.9" u="1"/>
        <n v="14.28" u="1"/>
        <n v="15.44" u="1"/>
        <n v="145" u="1"/>
        <n v="44.03" u="1"/>
        <n v="261.38" u="1"/>
        <n v="6.75" u="1"/>
        <n v="78.3" u="1"/>
        <n v="360" u="1"/>
        <n v="53.45" u="1"/>
        <n v="147.84" u="1"/>
        <n v="201.8" u="1"/>
        <n v="178" u="1"/>
        <n v="87.86" u="1"/>
        <n v="6.83" u="1"/>
        <n v="70.3" u="1"/>
        <n v="50.9" u="1"/>
        <n v="7.6" u="1"/>
        <n v="322.73" u="1"/>
        <n v="46.76" u="1"/>
        <n v="25.2" u="1"/>
        <n v="16.350000000000001" u="1"/>
        <n v="2.2000000000000002" u="1"/>
        <n v="69.099999999999994" u="1"/>
        <n v="59.15" u="1"/>
        <n v="195" u="1"/>
        <n v="59.22" u="1"/>
        <n v="21.2" u="1"/>
        <n v="17.5" u="1"/>
        <n v="73.28" u="1"/>
        <n v="798" u="1"/>
        <n v="88.5" u="1"/>
        <n v="2.1800000000000002" u="1"/>
        <n v="24.6" u="1"/>
        <n v="20.9" u="1"/>
        <n v="17.2" u="1"/>
        <n v="14.75" u="1"/>
        <n v="0.9" u="1"/>
        <n v="12.9" u="1"/>
        <n v="1.6" u="1"/>
        <n v="540" u="1"/>
        <n v="8.1300000000000008" u="1"/>
        <n v="105" u="1"/>
        <n v="18.899999999999999" u="1"/>
        <n v="52" u="1"/>
        <n v="11.9" u="1"/>
        <n v="44.6" u="1"/>
        <n v="20.6" u="1"/>
        <n v="358.2" u="1"/>
        <n v="121.22" u="1"/>
        <n v="37.700000000000003" u="1"/>
        <n v="48" u="1"/>
        <n v="18.600000000000001" u="1"/>
        <n v="15.45" u="1"/>
        <n v="51.4" u="1"/>
        <n v="113.5" u="1"/>
        <n v="81" u="1"/>
        <n v="300" u="1"/>
        <n v="12.6" u="1"/>
        <n v="40" u="1"/>
        <n v="1.1000000000000001" u="1"/>
        <n v="532.22" u="1"/>
        <n v="7.95" u="1"/>
        <n v="30.3" u="1"/>
        <n v="3.3" u="1"/>
        <n v="289.89999999999998" u="1"/>
        <n v="13.3" u="1"/>
        <n v="1572.94" u="1"/>
        <n v="165" u="1"/>
        <n v="59.19" u="1"/>
        <n v="30" u="1"/>
        <n v="18.14" u="1"/>
        <n v="12.3" u="1"/>
        <n v="38.799999999999997" u="1"/>
        <n v="24.23" u="1"/>
        <n v="0.8" u="1"/>
        <n v="270" u="1"/>
        <n v="195.1" u="1"/>
        <n v="329.7" u="1"/>
        <n v="39.58" u="1"/>
        <n v="59.23" u="1"/>
        <n v="24" u="1"/>
        <n v="20.3" u="1"/>
        <n v="44.5" u="1"/>
        <n v="18.3" u="1"/>
        <n v="23.7" u="1"/>
        <n v="353.25" u="1"/>
        <n v="20" u="1"/>
        <n v="21.63" u="1"/>
        <n v="13.23" u="1"/>
        <n v="23.08" u="1"/>
        <n v="12.92" u="1"/>
        <n v="18" u="1"/>
        <n v="39.9" u="1"/>
        <n v="102.4" u="1"/>
        <n v="38.520000000000003" u="1"/>
        <n v="468" u="1"/>
        <n v="35.9" u="1"/>
        <n v="387.28" u="1"/>
        <n v="40.61" u="1"/>
        <n v="17.7" u="1"/>
        <n v="344.3" u="1"/>
        <n v="10.92" u="1"/>
        <n v="22.16" u="1"/>
        <n v="38.06" u="1"/>
        <n v="42.7" u="1"/>
        <n v="232.78" u="1"/>
        <n v="21.1" u="1"/>
        <n v="26.25" u="1"/>
        <n v="42.84" u="1"/>
        <n v="59.16" u="1"/>
        <n v="41.46" u="1"/>
        <n v="49" u="1"/>
        <n v="19.100000000000001" u="1"/>
        <n v="195.01" u="1"/>
        <n v="12" u="1"/>
        <n v="45" u="1"/>
        <n v="138.4" u="1"/>
        <n v="17.100000000000001" u="1"/>
        <n v="14.7" u="1"/>
        <n v="41" u="1"/>
        <n v="184.78" u="1"/>
        <n v="291.10000000000002" u="1"/>
        <n v="59.2" u="1"/>
        <n v="308.5" u="1"/>
        <n v="75" u="1"/>
        <n v="389.72" u="1"/>
        <n v="111.4" u="1"/>
        <n v="10" u="1"/>
        <n v="114.3" u="1"/>
        <n v="341.5" u="1"/>
        <n v="250" u="1"/>
        <n v="214.6" u="1"/>
        <n v="2.9" u="1"/>
        <n v="107.61" u="1"/>
        <n v="9" u="1"/>
        <n v="43.8" u="1"/>
        <n v="357.6" u="1"/>
        <n v="8" u="1"/>
        <n v="2.4" u="1"/>
        <n v="5.46" u="1"/>
        <n v="7.5" u="1"/>
        <n v="0.7" u="1"/>
        <n v="565" u="1"/>
        <n v="30.2" u="1"/>
        <n v="97.1" u="1"/>
        <n v="26.5" u="1"/>
        <n v="66.05" u="1"/>
        <n v="311" u="1"/>
        <n v="0.2" u="1"/>
        <n v="186" u="1"/>
        <n v="48.12" u="1"/>
        <n v="24.5" u="1"/>
        <n v="23.12" u="1"/>
        <n v="29.9" u="1"/>
        <n v="22.5" u="1"/>
        <n v="18.8" u="1"/>
        <n v="57.75" u="1"/>
        <n v="-1160" u="1"/>
        <n v="20.5" u="1"/>
        <n v="414.59" u="1"/>
        <n v="37.5" u="1"/>
        <n v="378" u="1"/>
        <n v="51.06" u="1"/>
        <n v="18.5" u="1"/>
        <n v="68" u="1"/>
        <n v="15.4" u="1"/>
        <n v="125" u="1"/>
        <n v="195.11" u="1"/>
        <n v="351.8" u="1"/>
        <n v="4.5" u="1"/>
        <n v="16.5" u="1"/>
        <n v="59.17" u="1"/>
        <n v="84.5" u="1"/>
        <n v="40.299999999999997" u="1"/>
        <n v="155" u="1"/>
        <n v="23.6" u="1"/>
        <n v="19.899999999999999" u="1"/>
        <n v="10.86" u="1"/>
        <n v="16.89" u="1"/>
        <n v="36.229999999999997" u="1"/>
        <n v="36.299999999999997" u="1"/>
        <n v="46.6" u="1"/>
        <n v="30.45" u="1"/>
        <n v="18.59" u="1"/>
        <n v="380" u="1"/>
        <n v="58.78" u="1"/>
        <n v="107.52" u="1"/>
        <n v="11.4" u="1"/>
        <n v="17.28" u="1"/>
        <n v="16.59" u="1"/>
        <n v="147.36000000000001" u="1"/>
        <n v="14.1" u="1"/>
        <n v="35.700000000000003" u="1"/>
        <n v="3.25" u="1"/>
        <n v="27.83" u="1"/>
        <n v="113.29" u="1"/>
        <n v="17.600000000000001" u="1"/>
        <n v="3" u="1"/>
        <n v="25.83" u="1"/>
        <n v="40.619999999999997" u="1"/>
        <n v="15.8" u="1"/>
        <n v="365.25" u="1"/>
        <n v="349" u="1"/>
        <n v="48.16" u="1"/>
        <n v="61.65" u="1"/>
        <n v="20.059999999999999" u="1"/>
        <n v="12.1" u="1"/>
        <n v="113.4" u="1"/>
        <n v="38" u="1"/>
        <n v="140" u="1"/>
        <n v="355.3" u="1"/>
        <n v="11.1" u="1"/>
        <n v="29.3" u="1"/>
        <n v="350" u="1"/>
        <n v="11.95" u="1"/>
        <n v="18.38" u="1"/>
        <n v="173" u="1"/>
        <n v="12.8" u="1"/>
        <n v="195.02" u="1"/>
        <n v="34.78" u="1"/>
        <n v="21.53" u="1"/>
        <n v="515" u="1"/>
        <n v="2" u="1"/>
        <n v="29" u="1"/>
        <n v="42.32" u="1"/>
        <n v="323.14999999999998" u="1"/>
        <n v="6.7" u="1"/>
        <n v="44.2" u="1"/>
        <n v="176.4" u="1"/>
        <n v="30.7" u="1"/>
        <n v="59.21" u="1"/>
        <n v="18.149999999999999" u="1"/>
        <n v="8.9499999999999993" u="1"/>
        <n v="96.62" u="1"/>
        <n v="123.6" u="1"/>
      </sharedItems>
    </cacheField>
    <cacheField name="No. Units Serviced" numFmtId="4">
      <sharedItems containsString="0" containsBlank="1" containsNumber="1" containsInteger="1" minValue="-101" maxValue="101"/>
    </cacheField>
    <cacheField name="Volume (m3)" numFmtId="4">
      <sharedItems containsString="0" containsBlank="1" containsNumber="1" minValue="-454.5" maxValue="454.5"/>
    </cacheField>
    <cacheField name="Weight_x000a_(kg)" numFmtId="4">
      <sharedItems containsString="0" containsBlank="1" containsNumber="1" minValue="0" maxValue="13180.5"/>
    </cacheField>
    <cacheField name="Monthly Charged_x000a_(ex GST)" numFmtId="0">
      <sharedItems containsString="0" containsBlank="1" containsNumber="1" minValue="-11332.2" maxValue="848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98">
  <r>
    <x v="0"/>
    <x v="0"/>
    <x v="0"/>
    <s v="ROCKHAMPTON"/>
    <x v="0"/>
    <s v="2021-07-06"/>
    <x v="0"/>
    <x v="0"/>
    <n v="1"/>
    <n v="4.5"/>
    <n v="0"/>
    <n v="121.56"/>
  </r>
  <r>
    <x v="0"/>
    <x v="0"/>
    <x v="0"/>
    <s v="ROCKHAMPTON"/>
    <x v="0"/>
    <s v="2021-07-14"/>
    <x v="1"/>
    <x v="0"/>
    <n v="2"/>
    <n v="9"/>
    <n v="391"/>
    <n v="243.12"/>
  </r>
  <r>
    <x v="0"/>
    <x v="0"/>
    <x v="0"/>
    <s v="ROCKHAMPTON"/>
    <x v="0"/>
    <s v="2021-07-21"/>
    <x v="1"/>
    <x v="0"/>
    <n v="2"/>
    <n v="9"/>
    <n v="261"/>
    <n v="243.12"/>
  </r>
  <r>
    <x v="0"/>
    <x v="0"/>
    <x v="0"/>
    <s v="ROCKHAMPTON"/>
    <x v="0"/>
    <s v="2021-07-28"/>
    <x v="1"/>
    <x v="0"/>
    <n v="2"/>
    <n v="9"/>
    <n v="638"/>
    <n v="243.12"/>
  </r>
  <r>
    <x v="0"/>
    <x v="0"/>
    <x v="0"/>
    <s v="ROCKHAMPTON"/>
    <x v="0"/>
    <s v="2021-07-13"/>
    <x v="1"/>
    <x v="0"/>
    <n v="2"/>
    <n v="9"/>
    <n v="670"/>
    <n v="243.12"/>
  </r>
  <r>
    <x v="0"/>
    <x v="0"/>
    <x v="0"/>
    <s v="ROCKHAMPTON"/>
    <x v="0"/>
    <s v="2021-07-20"/>
    <x v="1"/>
    <x v="0"/>
    <n v="2"/>
    <n v="9"/>
    <n v="670"/>
    <n v="243.12"/>
  </r>
  <r>
    <x v="0"/>
    <x v="0"/>
    <x v="0"/>
    <s v="ROCKHAMPTON"/>
    <x v="0"/>
    <s v="2021-07-27"/>
    <x v="1"/>
    <x v="0"/>
    <n v="2"/>
    <n v="9"/>
    <n v="961"/>
    <n v="243.12"/>
  </r>
  <r>
    <x v="0"/>
    <x v="0"/>
    <x v="0"/>
    <s v="ROCKHAMPTON"/>
    <x v="0"/>
    <s v="2021-07-01"/>
    <x v="1"/>
    <x v="0"/>
    <n v="2"/>
    <n v="9"/>
    <n v="677"/>
    <n v="243.12"/>
  </r>
  <r>
    <x v="0"/>
    <x v="0"/>
    <x v="0"/>
    <s v="ROCKHAMPTON"/>
    <x v="0"/>
    <s v="2021-07-03"/>
    <x v="1"/>
    <x v="0"/>
    <n v="2"/>
    <n v="9"/>
    <n v="422"/>
    <n v="243.12"/>
  </r>
  <r>
    <x v="0"/>
    <x v="0"/>
    <x v="0"/>
    <s v="ROCKHAMPTON"/>
    <x v="0"/>
    <s v="2021-07-09"/>
    <x v="1"/>
    <x v="0"/>
    <n v="2"/>
    <n v="9"/>
    <n v="776"/>
    <n v="243.12"/>
  </r>
  <r>
    <x v="0"/>
    <x v="0"/>
    <x v="0"/>
    <s v="ROCKHAMPTON"/>
    <x v="0"/>
    <s v="2021-07-15"/>
    <x v="1"/>
    <x v="0"/>
    <n v="2"/>
    <n v="9"/>
    <n v="717"/>
    <n v="243.12"/>
  </r>
  <r>
    <x v="0"/>
    <x v="0"/>
    <x v="0"/>
    <s v="ROCKHAMPTON"/>
    <x v="0"/>
    <s v="2021-07-16"/>
    <x v="1"/>
    <x v="0"/>
    <n v="2"/>
    <n v="9"/>
    <n v="577"/>
    <n v="243.12"/>
  </r>
  <r>
    <x v="0"/>
    <x v="0"/>
    <x v="0"/>
    <s v="ROCKHAMPTON"/>
    <x v="0"/>
    <s v="2021-07-17"/>
    <x v="1"/>
    <x v="0"/>
    <n v="2"/>
    <n v="9"/>
    <n v="261"/>
    <n v="243.12"/>
  </r>
  <r>
    <x v="0"/>
    <x v="0"/>
    <x v="0"/>
    <s v="ROCKHAMPTON"/>
    <x v="0"/>
    <s v="2021-07-19"/>
    <x v="1"/>
    <x v="0"/>
    <n v="2"/>
    <n v="9"/>
    <n v="330.5"/>
    <n v="243.12"/>
  </r>
  <r>
    <x v="0"/>
    <x v="0"/>
    <x v="0"/>
    <s v="ROCKHAMPTON"/>
    <x v="0"/>
    <s v="2021-07-22"/>
    <x v="1"/>
    <x v="0"/>
    <n v="2"/>
    <n v="9"/>
    <n v="261"/>
    <n v="243.12"/>
  </r>
  <r>
    <x v="0"/>
    <x v="0"/>
    <x v="0"/>
    <s v="ROCKHAMPTON"/>
    <x v="0"/>
    <s v="2021-07-23"/>
    <x v="1"/>
    <x v="0"/>
    <n v="2"/>
    <n v="9"/>
    <n v="273"/>
    <n v="243.12"/>
  </r>
  <r>
    <x v="0"/>
    <x v="0"/>
    <x v="0"/>
    <s v="ROCKHAMPTON"/>
    <x v="0"/>
    <s v="2021-07-24"/>
    <x v="1"/>
    <x v="0"/>
    <n v="2"/>
    <n v="9"/>
    <n v="261"/>
    <n v="243.12"/>
  </r>
  <r>
    <x v="0"/>
    <x v="0"/>
    <x v="0"/>
    <s v="ROCKHAMPTON"/>
    <x v="0"/>
    <s v="2021-07-26"/>
    <x v="1"/>
    <x v="0"/>
    <n v="1"/>
    <n v="4.5"/>
    <n v="163"/>
    <n v="121.56"/>
  </r>
  <r>
    <x v="0"/>
    <x v="0"/>
    <x v="0"/>
    <s v="ROCKHAMPTON"/>
    <x v="0"/>
    <s v="2021-07-29"/>
    <x v="1"/>
    <x v="0"/>
    <n v="2"/>
    <n v="9"/>
    <n v="777"/>
    <n v="243.12"/>
  </r>
  <r>
    <x v="0"/>
    <x v="0"/>
    <x v="0"/>
    <s v="ROCKHAMPTON"/>
    <x v="0"/>
    <s v="2021-07-30"/>
    <x v="1"/>
    <x v="0"/>
    <n v="2"/>
    <n v="9"/>
    <n v="533"/>
    <n v="243.12"/>
  </r>
  <r>
    <x v="0"/>
    <x v="0"/>
    <x v="0"/>
    <s v="ROCKHAMPTON"/>
    <x v="0"/>
    <s v="2021-07-31"/>
    <x v="1"/>
    <x v="0"/>
    <n v="2"/>
    <n v="9"/>
    <n v="625"/>
    <n v="243.12"/>
  </r>
  <r>
    <x v="0"/>
    <x v="1"/>
    <x v="0"/>
    <s v="ROCKHAMPTON"/>
    <x v="0"/>
    <s v="2021-07-31"/>
    <x v="2"/>
    <x v="1"/>
    <n v="1"/>
    <n v="0"/>
    <n v="0"/>
    <n v="150"/>
  </r>
  <r>
    <x v="0"/>
    <x v="2"/>
    <x v="1"/>
    <s v="ROCKHAMPTON"/>
    <x v="0"/>
    <s v="2021-07-06"/>
    <x v="3"/>
    <x v="2"/>
    <n v="1"/>
    <n v="3"/>
    <n v="194"/>
    <n v="116.21"/>
  </r>
  <r>
    <x v="0"/>
    <x v="2"/>
    <x v="1"/>
    <s v="ROCKHAMPTON"/>
    <x v="0"/>
    <s v="2021-07-02"/>
    <x v="3"/>
    <x v="2"/>
    <n v="1"/>
    <n v="3"/>
    <n v="231"/>
    <n v="116.21"/>
  </r>
  <r>
    <x v="0"/>
    <x v="2"/>
    <x v="1"/>
    <s v="ROCKHAMPTON"/>
    <x v="0"/>
    <s v="2021-07-12"/>
    <x v="3"/>
    <x v="2"/>
    <n v="1"/>
    <n v="3"/>
    <n v="327"/>
    <n v="116.21"/>
  </r>
  <r>
    <x v="0"/>
    <x v="2"/>
    <x v="1"/>
    <s v="ROCKHAMPTON"/>
    <x v="0"/>
    <s v="2021-07-16"/>
    <x v="3"/>
    <x v="3"/>
    <n v="1"/>
    <n v="3"/>
    <n v="269"/>
    <n v="78"/>
  </r>
  <r>
    <x v="0"/>
    <x v="2"/>
    <x v="1"/>
    <s v="ROCKHAMPTON"/>
    <x v="0"/>
    <s v="2021-07-22"/>
    <x v="3"/>
    <x v="3"/>
    <n v="1"/>
    <n v="3"/>
    <n v="284"/>
    <n v="78"/>
  </r>
  <r>
    <x v="0"/>
    <x v="2"/>
    <x v="1"/>
    <s v="ROCKHAMPTON"/>
    <x v="0"/>
    <s v="2021-07-12"/>
    <x v="4"/>
    <x v="4"/>
    <n v="4"/>
    <n v="0"/>
    <n v="0"/>
    <n v="34.4"/>
  </r>
  <r>
    <x v="0"/>
    <x v="2"/>
    <x v="1"/>
    <s v="ROCKHAMPTON"/>
    <x v="0"/>
    <s v="2021-07-16"/>
    <x v="4"/>
    <x v="4"/>
    <n v="1"/>
    <n v="0"/>
    <n v="0"/>
    <n v="8.6"/>
  </r>
  <r>
    <x v="1"/>
    <x v="0"/>
    <x v="0"/>
    <s v="ROCKHAMPTON"/>
    <x v="0"/>
    <s v="2021-08-28"/>
    <x v="0"/>
    <x v="0"/>
    <n v="1"/>
    <n v="4.5"/>
    <n v="0"/>
    <n v="121.56"/>
  </r>
  <r>
    <x v="1"/>
    <x v="0"/>
    <x v="0"/>
    <s v="ROCKHAMPTON"/>
    <x v="0"/>
    <s v="2021-08-04"/>
    <x v="1"/>
    <x v="0"/>
    <n v="2"/>
    <n v="9"/>
    <n v="580"/>
    <n v="243.12"/>
  </r>
  <r>
    <x v="1"/>
    <x v="0"/>
    <x v="0"/>
    <s v="ROCKHAMPTON"/>
    <x v="0"/>
    <s v="2021-08-11"/>
    <x v="1"/>
    <x v="0"/>
    <n v="2"/>
    <n v="9"/>
    <n v="654"/>
    <n v="243.12"/>
  </r>
  <r>
    <x v="1"/>
    <x v="0"/>
    <x v="0"/>
    <s v="ROCKHAMPTON"/>
    <x v="0"/>
    <s v="2021-08-18"/>
    <x v="1"/>
    <x v="0"/>
    <n v="2"/>
    <n v="9"/>
    <n v="648"/>
    <n v="243.12"/>
  </r>
  <r>
    <x v="1"/>
    <x v="0"/>
    <x v="0"/>
    <s v="ROCKHAMPTON"/>
    <x v="0"/>
    <s v="2021-08-03"/>
    <x v="1"/>
    <x v="0"/>
    <n v="2"/>
    <n v="9"/>
    <n v="798"/>
    <n v="243.12"/>
  </r>
  <r>
    <x v="1"/>
    <x v="0"/>
    <x v="0"/>
    <s v="ROCKHAMPTON"/>
    <x v="0"/>
    <s v="2021-08-10"/>
    <x v="1"/>
    <x v="0"/>
    <n v="2"/>
    <n v="9"/>
    <n v="759"/>
    <n v="243.12"/>
  </r>
  <r>
    <x v="1"/>
    <x v="0"/>
    <x v="0"/>
    <s v="ROCKHAMPTON"/>
    <x v="0"/>
    <s v="2021-08-17"/>
    <x v="1"/>
    <x v="0"/>
    <n v="2"/>
    <n v="9"/>
    <n v="543"/>
    <n v="243.12"/>
  </r>
  <r>
    <x v="1"/>
    <x v="0"/>
    <x v="0"/>
    <s v="ROCKHAMPTON"/>
    <x v="0"/>
    <s v="2021-08-24"/>
    <x v="1"/>
    <x v="0"/>
    <n v="2"/>
    <n v="9"/>
    <n v="733"/>
    <n v="243.12"/>
  </r>
  <r>
    <x v="1"/>
    <x v="0"/>
    <x v="0"/>
    <s v="ROCKHAMPTON"/>
    <x v="0"/>
    <s v="2021-08-02"/>
    <x v="1"/>
    <x v="0"/>
    <n v="2"/>
    <n v="9"/>
    <n v="301.5"/>
    <n v="243.12"/>
  </r>
  <r>
    <x v="1"/>
    <x v="0"/>
    <x v="0"/>
    <s v="ROCKHAMPTON"/>
    <x v="0"/>
    <s v="2021-08-05"/>
    <x v="1"/>
    <x v="0"/>
    <n v="2"/>
    <n v="9"/>
    <n v="767"/>
    <n v="243.12"/>
  </r>
  <r>
    <x v="1"/>
    <x v="0"/>
    <x v="0"/>
    <s v="ROCKHAMPTON"/>
    <x v="0"/>
    <s v="2021-08-06"/>
    <x v="1"/>
    <x v="0"/>
    <n v="2"/>
    <n v="9"/>
    <n v="405"/>
    <n v="243.12"/>
  </r>
  <r>
    <x v="1"/>
    <x v="0"/>
    <x v="0"/>
    <s v="ROCKHAMPTON"/>
    <x v="0"/>
    <s v="2021-08-07"/>
    <x v="1"/>
    <x v="0"/>
    <n v="2"/>
    <n v="9"/>
    <n v="261"/>
    <n v="243.12"/>
  </r>
  <r>
    <x v="1"/>
    <x v="0"/>
    <x v="0"/>
    <s v="ROCKHAMPTON"/>
    <x v="0"/>
    <s v="2021-08-09"/>
    <x v="1"/>
    <x v="0"/>
    <n v="2"/>
    <n v="9"/>
    <n v="273.5"/>
    <n v="243.12"/>
  </r>
  <r>
    <x v="1"/>
    <x v="0"/>
    <x v="0"/>
    <s v="ROCKHAMPTON"/>
    <x v="0"/>
    <s v="2021-08-12"/>
    <x v="1"/>
    <x v="0"/>
    <n v="2"/>
    <n v="9"/>
    <n v="592"/>
    <n v="243.12"/>
  </r>
  <r>
    <x v="1"/>
    <x v="0"/>
    <x v="0"/>
    <s v="ROCKHAMPTON"/>
    <x v="0"/>
    <s v="2021-08-13"/>
    <x v="1"/>
    <x v="0"/>
    <n v="2"/>
    <n v="9"/>
    <n v="555"/>
    <n v="243.12"/>
  </r>
  <r>
    <x v="1"/>
    <x v="0"/>
    <x v="0"/>
    <s v="ROCKHAMPTON"/>
    <x v="0"/>
    <s v="2021-08-14"/>
    <x v="1"/>
    <x v="0"/>
    <n v="2"/>
    <n v="9"/>
    <n v="710"/>
    <n v="243.12"/>
  </r>
  <r>
    <x v="1"/>
    <x v="0"/>
    <x v="0"/>
    <s v="ROCKHAMPTON"/>
    <x v="0"/>
    <s v="2021-08-16"/>
    <x v="1"/>
    <x v="0"/>
    <n v="2"/>
    <n v="9"/>
    <n v="205.5"/>
    <n v="243.12"/>
  </r>
  <r>
    <x v="1"/>
    <x v="0"/>
    <x v="0"/>
    <s v="ROCKHAMPTON"/>
    <x v="0"/>
    <s v="2021-08-19"/>
    <x v="1"/>
    <x v="0"/>
    <n v="2"/>
    <n v="9"/>
    <n v="679"/>
    <n v="243.12"/>
  </r>
  <r>
    <x v="1"/>
    <x v="0"/>
    <x v="0"/>
    <s v="ROCKHAMPTON"/>
    <x v="0"/>
    <s v="2021-08-20"/>
    <x v="1"/>
    <x v="0"/>
    <n v="2"/>
    <n v="9"/>
    <n v="460.5"/>
    <n v="243.12"/>
  </r>
  <r>
    <x v="1"/>
    <x v="0"/>
    <x v="0"/>
    <s v="ROCKHAMPTON"/>
    <x v="0"/>
    <s v="2021-08-21"/>
    <x v="1"/>
    <x v="0"/>
    <n v="2"/>
    <n v="9"/>
    <n v="596"/>
    <n v="243.12"/>
  </r>
  <r>
    <x v="1"/>
    <x v="0"/>
    <x v="0"/>
    <s v="ROCKHAMPTON"/>
    <x v="0"/>
    <s v="2021-08-23"/>
    <x v="1"/>
    <x v="0"/>
    <n v="2"/>
    <n v="9"/>
    <n v="410.5"/>
    <n v="243.12"/>
  </r>
  <r>
    <x v="1"/>
    <x v="0"/>
    <x v="0"/>
    <s v="ROCKHAMPTON"/>
    <x v="0"/>
    <s v="2021-08-25"/>
    <x v="1"/>
    <x v="0"/>
    <n v="2"/>
    <n v="9"/>
    <n v="261"/>
    <n v="243.12"/>
  </r>
  <r>
    <x v="1"/>
    <x v="0"/>
    <x v="0"/>
    <s v="ROCKHAMPTON"/>
    <x v="0"/>
    <s v="2021-08-26"/>
    <x v="1"/>
    <x v="0"/>
    <n v="2"/>
    <n v="9"/>
    <n v="840.5"/>
    <n v="243.12"/>
  </r>
  <r>
    <x v="1"/>
    <x v="0"/>
    <x v="0"/>
    <s v="ROCKHAMPTON"/>
    <x v="0"/>
    <s v="2021-08-27"/>
    <x v="1"/>
    <x v="0"/>
    <n v="2"/>
    <n v="9"/>
    <n v="645.5"/>
    <n v="243.12"/>
  </r>
  <r>
    <x v="1"/>
    <x v="0"/>
    <x v="0"/>
    <s v="ROCKHAMPTON"/>
    <x v="0"/>
    <s v="2021-08-30"/>
    <x v="1"/>
    <x v="0"/>
    <n v="2"/>
    <n v="9"/>
    <n v="1105.5"/>
    <n v="243.12"/>
  </r>
  <r>
    <x v="1"/>
    <x v="0"/>
    <x v="0"/>
    <s v="ROCKHAMPTON"/>
    <x v="0"/>
    <s v="2021-08-31"/>
    <x v="1"/>
    <x v="0"/>
    <n v="0"/>
    <n v="0"/>
    <n v="335"/>
    <n v="0"/>
  </r>
  <r>
    <x v="1"/>
    <x v="0"/>
    <x v="0"/>
    <s v="ROCKHAMPTON"/>
    <x v="0"/>
    <s v="2021-08-31"/>
    <x v="1"/>
    <x v="5"/>
    <n v="2"/>
    <n v="9"/>
    <n v="261"/>
    <n v="168"/>
  </r>
  <r>
    <x v="1"/>
    <x v="0"/>
    <x v="0"/>
    <s v="ROCKHAMPTON"/>
    <x v="0"/>
    <s v="2021-08-30"/>
    <x v="1"/>
    <x v="0"/>
    <n v="-89"/>
    <n v="-400.5"/>
    <n v="0"/>
    <n v="-10818.84"/>
  </r>
  <r>
    <x v="1"/>
    <x v="0"/>
    <x v="0"/>
    <s v="ROCKHAMPTON"/>
    <x v="0"/>
    <s v="2021-08-30"/>
    <x v="1"/>
    <x v="5"/>
    <n v="89"/>
    <n v="400.5"/>
    <n v="11614.5"/>
    <n v="7476"/>
  </r>
  <r>
    <x v="1"/>
    <x v="1"/>
    <x v="0"/>
    <s v="ROCKHAMPTON"/>
    <x v="0"/>
    <s v="2021-08-31"/>
    <x v="2"/>
    <x v="1"/>
    <n v="1"/>
    <n v="0"/>
    <n v="0"/>
    <n v="150"/>
  </r>
  <r>
    <x v="2"/>
    <x v="0"/>
    <x v="0"/>
    <s v="ROCKHAMPTON"/>
    <x v="0"/>
    <s v="2021-09-18"/>
    <x v="0"/>
    <x v="0"/>
    <n v="1"/>
    <n v="4.5"/>
    <n v="0"/>
    <n v="121.56"/>
  </r>
  <r>
    <x v="2"/>
    <x v="0"/>
    <x v="0"/>
    <s v="ROCKHAMPTON"/>
    <x v="0"/>
    <s v="2021-09-18"/>
    <x v="1"/>
    <x v="0"/>
    <n v="-1"/>
    <n v="-4.5"/>
    <n v="0"/>
    <n v="-121.56"/>
  </r>
  <r>
    <x v="2"/>
    <x v="0"/>
    <x v="0"/>
    <s v="ROCKHAMPTON"/>
    <x v="0"/>
    <s v="2021-09-18"/>
    <x v="1"/>
    <x v="5"/>
    <n v="2"/>
    <n v="9"/>
    <n v="261"/>
    <n v="168"/>
  </r>
  <r>
    <x v="2"/>
    <x v="0"/>
    <x v="0"/>
    <s v="ROCKHAMPTON"/>
    <x v="0"/>
    <s v="2021-09-27"/>
    <x v="1"/>
    <x v="5"/>
    <n v="-2"/>
    <n v="-9"/>
    <n v="0"/>
    <n v="-168"/>
  </r>
  <r>
    <x v="2"/>
    <x v="0"/>
    <x v="0"/>
    <s v="ROCKHAMPTON"/>
    <x v="0"/>
    <s v="2021-09-28"/>
    <x v="1"/>
    <x v="5"/>
    <n v="2"/>
    <n v="9"/>
    <n v="355"/>
    <n v="168"/>
  </r>
  <r>
    <x v="2"/>
    <x v="0"/>
    <x v="0"/>
    <s v="ROCKHAMPTON"/>
    <x v="0"/>
    <s v="2021-09-29"/>
    <x v="1"/>
    <x v="5"/>
    <n v="2"/>
    <n v="9"/>
    <n v="375"/>
    <n v="168"/>
  </r>
  <r>
    <x v="2"/>
    <x v="0"/>
    <x v="0"/>
    <s v="ROCKHAMPTON"/>
    <x v="0"/>
    <s v="2021-09-30"/>
    <x v="1"/>
    <x v="5"/>
    <n v="2"/>
    <n v="9"/>
    <n v="235"/>
    <n v="168"/>
  </r>
  <r>
    <x v="2"/>
    <x v="0"/>
    <x v="0"/>
    <s v="ROCKHAMPTON"/>
    <x v="0"/>
    <s v="2021-09-01"/>
    <x v="1"/>
    <x v="0"/>
    <n v="0"/>
    <n v="0"/>
    <n v="775"/>
    <n v="0"/>
  </r>
  <r>
    <x v="2"/>
    <x v="0"/>
    <x v="0"/>
    <s v="ROCKHAMPTON"/>
    <x v="0"/>
    <s v="2021-09-01"/>
    <x v="1"/>
    <x v="5"/>
    <n v="2"/>
    <n v="9"/>
    <n v="261"/>
    <n v="168"/>
  </r>
  <r>
    <x v="2"/>
    <x v="0"/>
    <x v="0"/>
    <s v="ROCKHAMPTON"/>
    <x v="0"/>
    <s v="2021-09-02"/>
    <x v="1"/>
    <x v="0"/>
    <n v="0"/>
    <n v="0"/>
    <n v="935"/>
    <n v="0"/>
  </r>
  <r>
    <x v="2"/>
    <x v="0"/>
    <x v="0"/>
    <s v="ROCKHAMPTON"/>
    <x v="0"/>
    <s v="2021-09-02"/>
    <x v="1"/>
    <x v="5"/>
    <n v="2"/>
    <n v="9"/>
    <n v="261"/>
    <n v="168"/>
  </r>
  <r>
    <x v="2"/>
    <x v="0"/>
    <x v="0"/>
    <s v="ROCKHAMPTON"/>
    <x v="0"/>
    <s v="2021-09-03"/>
    <x v="1"/>
    <x v="0"/>
    <n v="0"/>
    <n v="0"/>
    <n v="765"/>
    <n v="0"/>
  </r>
  <r>
    <x v="2"/>
    <x v="0"/>
    <x v="0"/>
    <s v="ROCKHAMPTON"/>
    <x v="0"/>
    <s v="2021-09-03"/>
    <x v="1"/>
    <x v="5"/>
    <n v="2"/>
    <n v="9"/>
    <n v="261"/>
    <n v="168"/>
  </r>
  <r>
    <x v="2"/>
    <x v="0"/>
    <x v="0"/>
    <s v="ROCKHAMPTON"/>
    <x v="0"/>
    <s v="2021-09-04"/>
    <x v="1"/>
    <x v="5"/>
    <n v="1"/>
    <n v="4.5"/>
    <n v="130.5"/>
    <n v="84"/>
  </r>
  <r>
    <x v="2"/>
    <x v="0"/>
    <x v="0"/>
    <s v="ROCKHAMPTON"/>
    <x v="0"/>
    <s v="2021-09-06"/>
    <x v="1"/>
    <x v="0"/>
    <n v="0"/>
    <n v="0"/>
    <n v="320"/>
    <n v="0"/>
  </r>
  <r>
    <x v="2"/>
    <x v="0"/>
    <x v="0"/>
    <s v="ROCKHAMPTON"/>
    <x v="0"/>
    <s v="2021-09-06"/>
    <x v="1"/>
    <x v="5"/>
    <n v="2"/>
    <n v="9"/>
    <n v="261"/>
    <n v="168"/>
  </r>
  <r>
    <x v="2"/>
    <x v="0"/>
    <x v="0"/>
    <s v="ROCKHAMPTON"/>
    <x v="0"/>
    <s v="2021-09-07"/>
    <x v="1"/>
    <x v="0"/>
    <n v="0"/>
    <n v="0"/>
    <n v="465"/>
    <n v="0"/>
  </r>
  <r>
    <x v="2"/>
    <x v="0"/>
    <x v="0"/>
    <s v="ROCKHAMPTON"/>
    <x v="0"/>
    <s v="2021-09-07"/>
    <x v="1"/>
    <x v="5"/>
    <n v="2"/>
    <n v="9"/>
    <n v="261"/>
    <n v="168"/>
  </r>
  <r>
    <x v="2"/>
    <x v="0"/>
    <x v="0"/>
    <s v="ROCKHAMPTON"/>
    <x v="0"/>
    <s v="2021-09-08"/>
    <x v="1"/>
    <x v="0"/>
    <n v="0"/>
    <n v="0"/>
    <n v="735"/>
    <n v="0"/>
  </r>
  <r>
    <x v="2"/>
    <x v="0"/>
    <x v="0"/>
    <s v="ROCKHAMPTON"/>
    <x v="0"/>
    <s v="2021-09-08"/>
    <x v="1"/>
    <x v="5"/>
    <n v="2"/>
    <n v="9"/>
    <n v="261"/>
    <n v="168"/>
  </r>
  <r>
    <x v="2"/>
    <x v="0"/>
    <x v="0"/>
    <s v="ROCKHAMPTON"/>
    <x v="0"/>
    <s v="2021-09-09"/>
    <x v="1"/>
    <x v="0"/>
    <n v="0"/>
    <n v="0"/>
    <n v="730"/>
    <n v="0"/>
  </r>
  <r>
    <x v="2"/>
    <x v="0"/>
    <x v="0"/>
    <s v="ROCKHAMPTON"/>
    <x v="0"/>
    <s v="2021-09-09"/>
    <x v="1"/>
    <x v="5"/>
    <n v="2"/>
    <n v="9"/>
    <n v="261"/>
    <n v="168"/>
  </r>
  <r>
    <x v="2"/>
    <x v="0"/>
    <x v="0"/>
    <s v="ROCKHAMPTON"/>
    <x v="0"/>
    <s v="2021-09-10"/>
    <x v="1"/>
    <x v="0"/>
    <n v="0"/>
    <n v="0"/>
    <n v="185"/>
    <n v="0"/>
  </r>
  <r>
    <x v="2"/>
    <x v="0"/>
    <x v="0"/>
    <s v="ROCKHAMPTON"/>
    <x v="0"/>
    <s v="2021-09-10"/>
    <x v="1"/>
    <x v="5"/>
    <n v="2"/>
    <n v="9"/>
    <n v="261"/>
    <n v="168"/>
  </r>
  <r>
    <x v="2"/>
    <x v="0"/>
    <x v="0"/>
    <s v="ROCKHAMPTON"/>
    <x v="0"/>
    <s v="2021-09-11"/>
    <x v="1"/>
    <x v="0"/>
    <n v="0"/>
    <n v="0"/>
    <n v="616"/>
    <n v="0"/>
  </r>
  <r>
    <x v="2"/>
    <x v="0"/>
    <x v="0"/>
    <s v="ROCKHAMPTON"/>
    <x v="0"/>
    <s v="2021-09-11"/>
    <x v="1"/>
    <x v="5"/>
    <n v="2"/>
    <n v="9"/>
    <n v="261"/>
    <n v="168"/>
  </r>
  <r>
    <x v="2"/>
    <x v="0"/>
    <x v="0"/>
    <s v="ROCKHAMPTON"/>
    <x v="0"/>
    <s v="2021-09-13"/>
    <x v="1"/>
    <x v="0"/>
    <n v="0"/>
    <n v="0"/>
    <n v="335"/>
    <n v="0"/>
  </r>
  <r>
    <x v="2"/>
    <x v="0"/>
    <x v="0"/>
    <s v="ROCKHAMPTON"/>
    <x v="0"/>
    <s v="2021-09-13"/>
    <x v="1"/>
    <x v="5"/>
    <n v="2"/>
    <n v="9"/>
    <n v="261"/>
    <n v="168"/>
  </r>
  <r>
    <x v="2"/>
    <x v="0"/>
    <x v="0"/>
    <s v="ROCKHAMPTON"/>
    <x v="0"/>
    <s v="2021-09-14"/>
    <x v="1"/>
    <x v="0"/>
    <n v="0"/>
    <n v="0"/>
    <n v="840"/>
    <n v="0"/>
  </r>
  <r>
    <x v="2"/>
    <x v="0"/>
    <x v="0"/>
    <s v="ROCKHAMPTON"/>
    <x v="0"/>
    <s v="2021-09-14"/>
    <x v="1"/>
    <x v="5"/>
    <n v="2"/>
    <n v="9"/>
    <n v="261"/>
    <n v="168"/>
  </r>
  <r>
    <x v="2"/>
    <x v="0"/>
    <x v="0"/>
    <s v="ROCKHAMPTON"/>
    <x v="0"/>
    <s v="2021-09-15"/>
    <x v="1"/>
    <x v="0"/>
    <n v="0"/>
    <n v="0"/>
    <n v="320"/>
    <n v="0"/>
  </r>
  <r>
    <x v="2"/>
    <x v="0"/>
    <x v="0"/>
    <s v="ROCKHAMPTON"/>
    <x v="0"/>
    <s v="2021-09-15"/>
    <x v="1"/>
    <x v="5"/>
    <n v="2"/>
    <n v="9"/>
    <n v="261"/>
    <n v="168"/>
  </r>
  <r>
    <x v="2"/>
    <x v="0"/>
    <x v="0"/>
    <s v="ROCKHAMPTON"/>
    <x v="0"/>
    <s v="2021-09-16"/>
    <x v="1"/>
    <x v="0"/>
    <n v="0"/>
    <n v="0"/>
    <n v="170"/>
    <n v="0"/>
  </r>
  <r>
    <x v="2"/>
    <x v="0"/>
    <x v="0"/>
    <s v="ROCKHAMPTON"/>
    <x v="0"/>
    <s v="2021-09-16"/>
    <x v="1"/>
    <x v="5"/>
    <n v="2"/>
    <n v="9"/>
    <n v="261"/>
    <n v="168"/>
  </r>
  <r>
    <x v="2"/>
    <x v="0"/>
    <x v="0"/>
    <s v="ROCKHAMPTON"/>
    <x v="0"/>
    <s v="2021-09-17"/>
    <x v="1"/>
    <x v="0"/>
    <n v="0"/>
    <n v="0"/>
    <n v="830"/>
    <n v="0"/>
  </r>
  <r>
    <x v="2"/>
    <x v="0"/>
    <x v="0"/>
    <s v="ROCKHAMPTON"/>
    <x v="0"/>
    <s v="2021-09-17"/>
    <x v="1"/>
    <x v="5"/>
    <n v="2"/>
    <n v="9"/>
    <n v="261"/>
    <n v="168"/>
  </r>
  <r>
    <x v="2"/>
    <x v="0"/>
    <x v="0"/>
    <s v="ROCKHAMPTON"/>
    <x v="0"/>
    <s v="2021-09-20"/>
    <x v="1"/>
    <x v="0"/>
    <n v="0"/>
    <n v="0"/>
    <n v="500"/>
    <n v="0"/>
  </r>
  <r>
    <x v="2"/>
    <x v="0"/>
    <x v="0"/>
    <s v="ROCKHAMPTON"/>
    <x v="0"/>
    <s v="2021-09-20"/>
    <x v="1"/>
    <x v="5"/>
    <n v="2"/>
    <n v="9"/>
    <n v="261"/>
    <n v="168"/>
  </r>
  <r>
    <x v="2"/>
    <x v="0"/>
    <x v="0"/>
    <s v="ROCKHAMPTON"/>
    <x v="0"/>
    <s v="2021-09-21"/>
    <x v="1"/>
    <x v="0"/>
    <n v="0"/>
    <n v="0"/>
    <n v="705"/>
    <n v="0"/>
  </r>
  <r>
    <x v="2"/>
    <x v="0"/>
    <x v="0"/>
    <s v="ROCKHAMPTON"/>
    <x v="0"/>
    <s v="2021-09-21"/>
    <x v="1"/>
    <x v="5"/>
    <n v="2"/>
    <n v="9"/>
    <n v="261"/>
    <n v="168"/>
  </r>
  <r>
    <x v="2"/>
    <x v="0"/>
    <x v="0"/>
    <s v="ROCKHAMPTON"/>
    <x v="0"/>
    <s v="2021-09-23"/>
    <x v="1"/>
    <x v="0"/>
    <n v="0"/>
    <n v="0"/>
    <n v="580"/>
    <n v="0"/>
  </r>
  <r>
    <x v="2"/>
    <x v="0"/>
    <x v="0"/>
    <s v="ROCKHAMPTON"/>
    <x v="0"/>
    <s v="2021-09-23"/>
    <x v="1"/>
    <x v="5"/>
    <n v="2"/>
    <n v="9"/>
    <n v="261"/>
    <n v="168"/>
  </r>
  <r>
    <x v="2"/>
    <x v="0"/>
    <x v="0"/>
    <s v="ROCKHAMPTON"/>
    <x v="0"/>
    <s v="2021-09-24"/>
    <x v="1"/>
    <x v="0"/>
    <n v="0"/>
    <n v="0"/>
    <n v="415"/>
    <n v="0"/>
  </r>
  <r>
    <x v="2"/>
    <x v="0"/>
    <x v="0"/>
    <s v="ROCKHAMPTON"/>
    <x v="0"/>
    <s v="2021-09-24"/>
    <x v="1"/>
    <x v="5"/>
    <n v="2"/>
    <n v="9"/>
    <n v="261"/>
    <n v="168"/>
  </r>
  <r>
    <x v="2"/>
    <x v="0"/>
    <x v="0"/>
    <s v="ROCKHAMPTON"/>
    <x v="0"/>
    <s v="2021-09-25"/>
    <x v="1"/>
    <x v="0"/>
    <n v="0"/>
    <n v="0"/>
    <n v="28"/>
    <n v="0"/>
  </r>
  <r>
    <x v="2"/>
    <x v="0"/>
    <x v="0"/>
    <s v="ROCKHAMPTON"/>
    <x v="0"/>
    <s v="2021-09-25"/>
    <x v="1"/>
    <x v="5"/>
    <n v="1"/>
    <n v="4.5"/>
    <n v="130.5"/>
    <n v="84"/>
  </r>
  <r>
    <x v="2"/>
    <x v="0"/>
    <x v="0"/>
    <s v="ROCKHAMPTON"/>
    <x v="0"/>
    <s v="2021-09-27"/>
    <x v="5"/>
    <x v="5"/>
    <n v="2"/>
    <n v="9"/>
    <n v="0"/>
    <n v="168"/>
  </r>
  <r>
    <x v="2"/>
    <x v="1"/>
    <x v="0"/>
    <s v="ROCKHAMPTON"/>
    <x v="0"/>
    <s v="2021-09-30"/>
    <x v="2"/>
    <x v="1"/>
    <n v="1"/>
    <n v="0"/>
    <n v="0"/>
    <n v="150"/>
  </r>
  <r>
    <x v="2"/>
    <x v="2"/>
    <x v="1"/>
    <s v="ROCKHAMPTON"/>
    <x v="0"/>
    <s v="2021-09-16"/>
    <x v="3"/>
    <x v="3"/>
    <n v="1"/>
    <n v="3"/>
    <n v="190"/>
    <n v="78"/>
  </r>
  <r>
    <x v="2"/>
    <x v="2"/>
    <x v="1"/>
    <s v="ROCKHAMPTON"/>
    <x v="0"/>
    <s v="2021-09-20"/>
    <x v="3"/>
    <x v="3"/>
    <n v="1"/>
    <n v="3"/>
    <n v="87"/>
    <n v="78"/>
  </r>
  <r>
    <x v="3"/>
    <x v="0"/>
    <x v="0"/>
    <s v="ROCKHAMPTON"/>
    <x v="0"/>
    <s v="2021-10-01"/>
    <x v="1"/>
    <x v="5"/>
    <n v="2"/>
    <n v="9"/>
    <n v="960"/>
    <n v="168"/>
  </r>
  <r>
    <x v="3"/>
    <x v="0"/>
    <x v="0"/>
    <s v="ROCKHAMPTON"/>
    <x v="0"/>
    <s v="2021-10-02"/>
    <x v="1"/>
    <x v="5"/>
    <n v="2"/>
    <n v="9"/>
    <n v="400"/>
    <n v="168"/>
  </r>
  <r>
    <x v="3"/>
    <x v="0"/>
    <x v="0"/>
    <s v="ROCKHAMPTON"/>
    <x v="0"/>
    <s v="2021-10-05"/>
    <x v="1"/>
    <x v="5"/>
    <n v="2"/>
    <n v="9"/>
    <n v="281"/>
    <n v="168"/>
  </r>
  <r>
    <x v="3"/>
    <x v="0"/>
    <x v="0"/>
    <s v="ROCKHAMPTON"/>
    <x v="0"/>
    <s v="2021-10-06"/>
    <x v="1"/>
    <x v="5"/>
    <n v="2"/>
    <n v="9"/>
    <n v="765"/>
    <n v="168"/>
  </r>
  <r>
    <x v="3"/>
    <x v="0"/>
    <x v="0"/>
    <s v="ROCKHAMPTON"/>
    <x v="0"/>
    <s v="2021-10-07"/>
    <x v="1"/>
    <x v="5"/>
    <n v="2"/>
    <n v="9"/>
    <n v="550"/>
    <n v="168"/>
  </r>
  <r>
    <x v="3"/>
    <x v="0"/>
    <x v="0"/>
    <s v="ROCKHAMPTON"/>
    <x v="0"/>
    <s v="2021-10-08"/>
    <x v="1"/>
    <x v="5"/>
    <n v="2"/>
    <n v="9"/>
    <n v="755"/>
    <n v="168"/>
  </r>
  <r>
    <x v="3"/>
    <x v="0"/>
    <x v="0"/>
    <s v="ROCKHAMPTON"/>
    <x v="0"/>
    <s v="2021-10-09"/>
    <x v="1"/>
    <x v="5"/>
    <n v="2"/>
    <n v="9"/>
    <n v="447"/>
    <n v="168"/>
  </r>
  <r>
    <x v="3"/>
    <x v="0"/>
    <x v="0"/>
    <s v="ROCKHAMPTON"/>
    <x v="0"/>
    <s v="2021-10-11"/>
    <x v="1"/>
    <x v="5"/>
    <n v="2"/>
    <n v="9"/>
    <n v="110"/>
    <n v="168"/>
  </r>
  <r>
    <x v="3"/>
    <x v="0"/>
    <x v="0"/>
    <s v="ROCKHAMPTON"/>
    <x v="0"/>
    <s v="2021-10-12"/>
    <x v="1"/>
    <x v="5"/>
    <n v="2"/>
    <n v="9"/>
    <n v="60"/>
    <n v="168"/>
  </r>
  <r>
    <x v="3"/>
    <x v="0"/>
    <x v="0"/>
    <s v="ROCKHAMPTON"/>
    <x v="0"/>
    <s v="2021-10-13"/>
    <x v="1"/>
    <x v="5"/>
    <n v="2"/>
    <n v="9"/>
    <n v="725"/>
    <n v="168"/>
  </r>
  <r>
    <x v="3"/>
    <x v="0"/>
    <x v="0"/>
    <s v="ROCKHAMPTON"/>
    <x v="0"/>
    <s v="2021-10-14"/>
    <x v="1"/>
    <x v="5"/>
    <n v="2"/>
    <n v="9"/>
    <n v="785"/>
    <n v="168"/>
  </r>
  <r>
    <x v="3"/>
    <x v="0"/>
    <x v="0"/>
    <s v="ROCKHAMPTON"/>
    <x v="0"/>
    <s v="2021-10-15"/>
    <x v="1"/>
    <x v="5"/>
    <n v="2"/>
    <n v="9"/>
    <n v="895"/>
    <n v="168"/>
  </r>
  <r>
    <x v="3"/>
    <x v="0"/>
    <x v="0"/>
    <s v="ROCKHAMPTON"/>
    <x v="0"/>
    <s v="2021-10-16"/>
    <x v="1"/>
    <x v="5"/>
    <n v="1"/>
    <n v="4.5"/>
    <n v="366"/>
    <n v="84"/>
  </r>
  <r>
    <x v="3"/>
    <x v="0"/>
    <x v="0"/>
    <s v="ROCKHAMPTON"/>
    <x v="0"/>
    <s v="2021-10-18"/>
    <x v="1"/>
    <x v="5"/>
    <n v="2"/>
    <n v="9"/>
    <n v="685"/>
    <n v="168"/>
  </r>
  <r>
    <x v="3"/>
    <x v="0"/>
    <x v="0"/>
    <s v="ROCKHAMPTON"/>
    <x v="0"/>
    <s v="2021-10-19"/>
    <x v="1"/>
    <x v="5"/>
    <n v="2"/>
    <n v="9"/>
    <n v="995"/>
    <n v="168"/>
  </r>
  <r>
    <x v="3"/>
    <x v="0"/>
    <x v="0"/>
    <s v="ROCKHAMPTON"/>
    <x v="0"/>
    <s v="2021-10-20"/>
    <x v="1"/>
    <x v="5"/>
    <n v="2"/>
    <n v="9"/>
    <n v="760"/>
    <n v="168"/>
  </r>
  <r>
    <x v="3"/>
    <x v="0"/>
    <x v="0"/>
    <s v="ROCKHAMPTON"/>
    <x v="0"/>
    <s v="2021-10-21"/>
    <x v="1"/>
    <x v="5"/>
    <n v="2"/>
    <n v="9"/>
    <n v="760"/>
    <n v="168"/>
  </r>
  <r>
    <x v="3"/>
    <x v="0"/>
    <x v="0"/>
    <s v="ROCKHAMPTON"/>
    <x v="0"/>
    <s v="2021-10-22"/>
    <x v="1"/>
    <x v="5"/>
    <n v="2"/>
    <n v="9"/>
    <n v="750"/>
    <n v="168"/>
  </r>
  <r>
    <x v="3"/>
    <x v="0"/>
    <x v="0"/>
    <s v="ROCKHAMPTON"/>
    <x v="0"/>
    <s v="2021-10-23"/>
    <x v="1"/>
    <x v="5"/>
    <n v="2"/>
    <n v="9"/>
    <n v="535"/>
    <n v="168"/>
  </r>
  <r>
    <x v="3"/>
    <x v="0"/>
    <x v="0"/>
    <s v="ROCKHAMPTON"/>
    <x v="0"/>
    <s v="2021-10-25"/>
    <x v="1"/>
    <x v="5"/>
    <n v="1"/>
    <n v="4.5"/>
    <n v="235"/>
    <n v="84"/>
  </r>
  <r>
    <x v="3"/>
    <x v="0"/>
    <x v="0"/>
    <s v="ROCKHAMPTON"/>
    <x v="0"/>
    <s v="2021-10-26"/>
    <x v="1"/>
    <x v="5"/>
    <n v="2"/>
    <n v="9"/>
    <n v="850"/>
    <n v="168"/>
  </r>
  <r>
    <x v="3"/>
    <x v="0"/>
    <x v="0"/>
    <s v="ROCKHAMPTON"/>
    <x v="0"/>
    <s v="2021-10-27"/>
    <x v="1"/>
    <x v="5"/>
    <n v="2"/>
    <n v="9"/>
    <n v="755"/>
    <n v="168"/>
  </r>
  <r>
    <x v="3"/>
    <x v="0"/>
    <x v="0"/>
    <s v="ROCKHAMPTON"/>
    <x v="0"/>
    <s v="2021-10-28"/>
    <x v="1"/>
    <x v="5"/>
    <n v="2"/>
    <n v="9"/>
    <n v="565"/>
    <n v="168"/>
  </r>
  <r>
    <x v="3"/>
    <x v="0"/>
    <x v="0"/>
    <s v="ROCKHAMPTON"/>
    <x v="0"/>
    <s v="2021-10-29"/>
    <x v="1"/>
    <x v="5"/>
    <n v="2"/>
    <n v="9"/>
    <n v="730"/>
    <n v="168"/>
  </r>
  <r>
    <x v="3"/>
    <x v="0"/>
    <x v="0"/>
    <s v="ROCKHAMPTON"/>
    <x v="0"/>
    <s v="2021-10-30"/>
    <x v="1"/>
    <x v="5"/>
    <n v="2"/>
    <n v="9"/>
    <n v="261"/>
    <n v="168"/>
  </r>
  <r>
    <x v="3"/>
    <x v="1"/>
    <x v="0"/>
    <s v="ROCKHAMPTON"/>
    <x v="0"/>
    <s v="2021-10-31"/>
    <x v="2"/>
    <x v="1"/>
    <n v="1"/>
    <n v="0"/>
    <n v="0"/>
    <n v="150"/>
  </r>
  <r>
    <x v="4"/>
    <x v="0"/>
    <x v="0"/>
    <s v="ROCKHAMPTON"/>
    <x v="0"/>
    <s v="2021-11-01"/>
    <x v="1"/>
    <x v="5"/>
    <n v="1"/>
    <n v="4.5"/>
    <n v="215"/>
    <n v="84"/>
  </r>
  <r>
    <x v="4"/>
    <x v="0"/>
    <x v="0"/>
    <s v="ROCKHAMPTON"/>
    <x v="0"/>
    <s v="2021-11-02"/>
    <x v="1"/>
    <x v="5"/>
    <n v="2"/>
    <n v="9"/>
    <n v="915"/>
    <n v="168"/>
  </r>
  <r>
    <x v="4"/>
    <x v="0"/>
    <x v="0"/>
    <s v="ROCKHAMPTON"/>
    <x v="0"/>
    <s v="2021-11-03"/>
    <x v="1"/>
    <x v="5"/>
    <n v="2"/>
    <n v="9"/>
    <n v="670"/>
    <n v="168"/>
  </r>
  <r>
    <x v="4"/>
    <x v="0"/>
    <x v="0"/>
    <s v="ROCKHAMPTON"/>
    <x v="0"/>
    <s v="2021-11-04"/>
    <x v="1"/>
    <x v="5"/>
    <n v="2"/>
    <n v="9"/>
    <n v="650"/>
    <n v="168"/>
  </r>
  <r>
    <x v="4"/>
    <x v="0"/>
    <x v="0"/>
    <s v="ROCKHAMPTON"/>
    <x v="0"/>
    <s v="2021-11-05"/>
    <x v="1"/>
    <x v="5"/>
    <n v="2"/>
    <n v="9"/>
    <n v="261"/>
    <n v="168"/>
  </r>
  <r>
    <x v="4"/>
    <x v="0"/>
    <x v="0"/>
    <s v="ROCKHAMPTON"/>
    <x v="0"/>
    <s v="2021-11-06"/>
    <x v="1"/>
    <x v="5"/>
    <n v="1"/>
    <n v="4.5"/>
    <n v="255"/>
    <n v="84"/>
  </r>
  <r>
    <x v="4"/>
    <x v="0"/>
    <x v="0"/>
    <s v="ROCKHAMPTON"/>
    <x v="0"/>
    <s v="2021-11-08"/>
    <x v="1"/>
    <x v="5"/>
    <n v="2"/>
    <n v="9"/>
    <n v="261"/>
    <n v="168"/>
  </r>
  <r>
    <x v="4"/>
    <x v="0"/>
    <x v="0"/>
    <s v="ROCKHAMPTON"/>
    <x v="0"/>
    <s v="2021-11-09"/>
    <x v="1"/>
    <x v="5"/>
    <n v="2"/>
    <n v="9"/>
    <n v="1155"/>
    <n v="168"/>
  </r>
  <r>
    <x v="4"/>
    <x v="0"/>
    <x v="0"/>
    <s v="ROCKHAMPTON"/>
    <x v="0"/>
    <s v="2021-11-10"/>
    <x v="1"/>
    <x v="5"/>
    <n v="2"/>
    <n v="9"/>
    <n v="590"/>
    <n v="168"/>
  </r>
  <r>
    <x v="4"/>
    <x v="0"/>
    <x v="0"/>
    <s v="ROCKHAMPTON"/>
    <x v="0"/>
    <s v="2021-11-11"/>
    <x v="1"/>
    <x v="5"/>
    <n v="2"/>
    <n v="9"/>
    <n v="825"/>
    <n v="168"/>
  </r>
  <r>
    <x v="4"/>
    <x v="0"/>
    <x v="0"/>
    <s v="ROCKHAMPTON"/>
    <x v="0"/>
    <s v="2021-11-12"/>
    <x v="1"/>
    <x v="5"/>
    <n v="2"/>
    <n v="9"/>
    <n v="960"/>
    <n v="168"/>
  </r>
  <r>
    <x v="4"/>
    <x v="0"/>
    <x v="0"/>
    <s v="ROCKHAMPTON"/>
    <x v="0"/>
    <s v="2021-11-13"/>
    <x v="1"/>
    <x v="5"/>
    <n v="2"/>
    <n v="9"/>
    <n v="625"/>
    <n v="168"/>
  </r>
  <r>
    <x v="4"/>
    <x v="0"/>
    <x v="0"/>
    <s v="ROCKHAMPTON"/>
    <x v="0"/>
    <s v="2021-11-15"/>
    <x v="1"/>
    <x v="5"/>
    <n v="2"/>
    <n v="9"/>
    <n v="200"/>
    <n v="168"/>
  </r>
  <r>
    <x v="4"/>
    <x v="0"/>
    <x v="0"/>
    <s v="ROCKHAMPTON"/>
    <x v="0"/>
    <s v="2021-11-16"/>
    <x v="1"/>
    <x v="5"/>
    <n v="2"/>
    <n v="9"/>
    <n v="950"/>
    <n v="168"/>
  </r>
  <r>
    <x v="4"/>
    <x v="0"/>
    <x v="0"/>
    <s v="ROCKHAMPTON"/>
    <x v="0"/>
    <s v="2021-11-17"/>
    <x v="1"/>
    <x v="5"/>
    <n v="2"/>
    <n v="9"/>
    <n v="355"/>
    <n v="168"/>
  </r>
  <r>
    <x v="4"/>
    <x v="0"/>
    <x v="0"/>
    <s v="ROCKHAMPTON"/>
    <x v="0"/>
    <s v="2021-11-18"/>
    <x v="1"/>
    <x v="5"/>
    <n v="2"/>
    <n v="9"/>
    <n v="1145"/>
    <n v="168"/>
  </r>
  <r>
    <x v="4"/>
    <x v="0"/>
    <x v="0"/>
    <s v="ROCKHAMPTON"/>
    <x v="0"/>
    <s v="2021-11-19"/>
    <x v="1"/>
    <x v="5"/>
    <n v="2"/>
    <n v="9"/>
    <n v="760"/>
    <n v="168"/>
  </r>
  <r>
    <x v="4"/>
    <x v="0"/>
    <x v="0"/>
    <s v="ROCKHAMPTON"/>
    <x v="0"/>
    <s v="2021-11-20"/>
    <x v="1"/>
    <x v="5"/>
    <n v="2"/>
    <n v="9"/>
    <n v="1110"/>
    <n v="168"/>
  </r>
  <r>
    <x v="4"/>
    <x v="0"/>
    <x v="0"/>
    <s v="ROCKHAMPTON"/>
    <x v="0"/>
    <s v="2021-11-22"/>
    <x v="1"/>
    <x v="5"/>
    <n v="2"/>
    <n v="9"/>
    <n v="245"/>
    <n v="168"/>
  </r>
  <r>
    <x v="4"/>
    <x v="0"/>
    <x v="0"/>
    <s v="ROCKHAMPTON"/>
    <x v="0"/>
    <s v="2021-11-23"/>
    <x v="1"/>
    <x v="5"/>
    <n v="2"/>
    <n v="9"/>
    <n v="1110"/>
    <n v="168"/>
  </r>
  <r>
    <x v="4"/>
    <x v="0"/>
    <x v="0"/>
    <s v="ROCKHAMPTON"/>
    <x v="0"/>
    <s v="2021-11-24"/>
    <x v="1"/>
    <x v="5"/>
    <n v="2"/>
    <n v="9"/>
    <n v="261"/>
    <n v="168"/>
  </r>
  <r>
    <x v="4"/>
    <x v="0"/>
    <x v="0"/>
    <s v="ROCKHAMPTON"/>
    <x v="0"/>
    <s v="2021-11-25"/>
    <x v="1"/>
    <x v="5"/>
    <n v="2"/>
    <n v="9"/>
    <n v="935"/>
    <n v="168"/>
  </r>
  <r>
    <x v="4"/>
    <x v="0"/>
    <x v="0"/>
    <s v="ROCKHAMPTON"/>
    <x v="0"/>
    <s v="2021-11-29"/>
    <x v="1"/>
    <x v="5"/>
    <n v="2"/>
    <n v="9"/>
    <n v="595"/>
    <n v="168"/>
  </r>
  <r>
    <x v="4"/>
    <x v="0"/>
    <x v="0"/>
    <s v="ROCKHAMPTON"/>
    <x v="0"/>
    <s v="2021-11-30"/>
    <x v="1"/>
    <x v="5"/>
    <n v="2"/>
    <n v="9"/>
    <n v="1310"/>
    <n v="168"/>
  </r>
  <r>
    <x v="4"/>
    <x v="0"/>
    <x v="0"/>
    <s v="ROCKHAMPTON"/>
    <x v="0"/>
    <s v="2021-11-26"/>
    <x v="1"/>
    <x v="5"/>
    <n v="2"/>
    <n v="9"/>
    <n v="1080"/>
    <n v="168"/>
  </r>
  <r>
    <x v="4"/>
    <x v="0"/>
    <x v="0"/>
    <s v="ROCKHAMPTON"/>
    <x v="0"/>
    <s v="2021-11-27"/>
    <x v="1"/>
    <x v="5"/>
    <n v="1"/>
    <n v="4.5"/>
    <n v="495"/>
    <n v="84"/>
  </r>
  <r>
    <x v="4"/>
    <x v="1"/>
    <x v="0"/>
    <s v="ROCKHAMPTON"/>
    <x v="0"/>
    <s v="2021-11-30"/>
    <x v="2"/>
    <x v="1"/>
    <n v="1"/>
    <n v="0"/>
    <n v="0"/>
    <n v="150"/>
  </r>
  <r>
    <x v="5"/>
    <x v="0"/>
    <x v="0"/>
    <s v="ROCKHAMPTON"/>
    <x v="0"/>
    <s v="2021-12-01"/>
    <x v="0"/>
    <x v="5"/>
    <n v="1"/>
    <n v="4.5"/>
    <n v="0"/>
    <n v="84"/>
  </r>
  <r>
    <x v="5"/>
    <x v="0"/>
    <x v="0"/>
    <s v="ROCKHAMPTON"/>
    <x v="0"/>
    <s v="2021-12-06"/>
    <x v="0"/>
    <x v="5"/>
    <n v="3"/>
    <n v="13.5"/>
    <n v="0"/>
    <n v="252"/>
  </r>
  <r>
    <x v="5"/>
    <x v="0"/>
    <x v="0"/>
    <s v="ROCKHAMPTON"/>
    <x v="0"/>
    <s v="2021-12-06"/>
    <x v="1"/>
    <x v="5"/>
    <n v="-2"/>
    <n v="-9"/>
    <n v="310"/>
    <n v="-168"/>
  </r>
  <r>
    <x v="5"/>
    <x v="0"/>
    <x v="0"/>
    <s v="ROCKHAMPTON"/>
    <x v="0"/>
    <s v="2021-12-02"/>
    <x v="1"/>
    <x v="5"/>
    <n v="2"/>
    <n v="9"/>
    <n v="261"/>
    <n v="168"/>
  </r>
  <r>
    <x v="5"/>
    <x v="0"/>
    <x v="0"/>
    <s v="ROCKHAMPTON"/>
    <x v="0"/>
    <s v="2021-12-03"/>
    <x v="1"/>
    <x v="5"/>
    <n v="2"/>
    <n v="9"/>
    <n v="1271"/>
    <n v="168"/>
  </r>
  <r>
    <x v="5"/>
    <x v="0"/>
    <x v="0"/>
    <s v="ROCKHAMPTON"/>
    <x v="0"/>
    <s v="2021-12-07"/>
    <x v="1"/>
    <x v="5"/>
    <n v="2"/>
    <n v="9"/>
    <n v="261"/>
    <n v="168"/>
  </r>
  <r>
    <x v="5"/>
    <x v="0"/>
    <x v="0"/>
    <s v="ROCKHAMPTON"/>
    <x v="0"/>
    <s v="2021-12-08"/>
    <x v="1"/>
    <x v="5"/>
    <n v="2"/>
    <n v="9"/>
    <n v="285"/>
    <n v="168"/>
  </r>
  <r>
    <x v="5"/>
    <x v="0"/>
    <x v="0"/>
    <s v="ROCKHAMPTON"/>
    <x v="0"/>
    <s v="2021-12-09"/>
    <x v="1"/>
    <x v="5"/>
    <n v="2"/>
    <n v="9"/>
    <n v="105"/>
    <n v="168"/>
  </r>
  <r>
    <x v="5"/>
    <x v="0"/>
    <x v="0"/>
    <s v="ROCKHAMPTON"/>
    <x v="0"/>
    <s v="2021-12-10"/>
    <x v="1"/>
    <x v="5"/>
    <n v="2"/>
    <n v="9"/>
    <n v="700"/>
    <n v="168"/>
  </r>
  <r>
    <x v="5"/>
    <x v="0"/>
    <x v="0"/>
    <s v="ROCKHAMPTON"/>
    <x v="0"/>
    <s v="2021-12-13"/>
    <x v="1"/>
    <x v="5"/>
    <n v="2"/>
    <n v="9"/>
    <n v="395"/>
    <n v="168"/>
  </r>
  <r>
    <x v="5"/>
    <x v="0"/>
    <x v="0"/>
    <s v="ROCKHAMPTON"/>
    <x v="0"/>
    <s v="2021-12-15"/>
    <x v="1"/>
    <x v="5"/>
    <n v="1"/>
    <n v="4.5"/>
    <n v="130.5"/>
    <n v="84"/>
  </r>
  <r>
    <x v="5"/>
    <x v="0"/>
    <x v="0"/>
    <s v="ROCKHAMPTON"/>
    <x v="0"/>
    <s v="2021-12-17"/>
    <x v="1"/>
    <x v="5"/>
    <n v="2"/>
    <n v="9"/>
    <n v="550"/>
    <n v="168"/>
  </r>
  <r>
    <x v="5"/>
    <x v="0"/>
    <x v="0"/>
    <s v="ROCKHAMPTON"/>
    <x v="0"/>
    <s v="2021-12-20"/>
    <x v="1"/>
    <x v="5"/>
    <n v="2"/>
    <n v="9"/>
    <n v="635"/>
    <n v="168"/>
  </r>
  <r>
    <x v="5"/>
    <x v="0"/>
    <x v="0"/>
    <s v="ROCKHAMPTON"/>
    <x v="0"/>
    <s v="2021-12-22"/>
    <x v="1"/>
    <x v="5"/>
    <n v="2"/>
    <n v="9"/>
    <n v="595"/>
    <n v="168"/>
  </r>
  <r>
    <x v="5"/>
    <x v="0"/>
    <x v="0"/>
    <s v="ROCKHAMPTON"/>
    <x v="0"/>
    <s v="2021-12-23"/>
    <x v="1"/>
    <x v="5"/>
    <n v="0"/>
    <n v="0"/>
    <n v="90"/>
    <n v="0"/>
  </r>
  <r>
    <x v="5"/>
    <x v="0"/>
    <x v="0"/>
    <s v="ROCKHAMPTON"/>
    <x v="0"/>
    <s v="2021-12-24"/>
    <x v="1"/>
    <x v="5"/>
    <n v="2"/>
    <n v="9"/>
    <n v="261"/>
    <n v="168"/>
  </r>
  <r>
    <x v="5"/>
    <x v="0"/>
    <x v="0"/>
    <s v="ROCKHAMPTON"/>
    <x v="0"/>
    <s v="2021-12-15"/>
    <x v="5"/>
    <x v="5"/>
    <n v="1"/>
    <n v="4.5"/>
    <n v="0"/>
    <n v="84"/>
  </r>
  <r>
    <x v="5"/>
    <x v="1"/>
    <x v="0"/>
    <s v="ROCKHAMPTON"/>
    <x v="0"/>
    <s v="2021-12-31"/>
    <x v="2"/>
    <x v="6"/>
    <n v="1"/>
    <n v="0"/>
    <n v="0"/>
    <n v="108.4"/>
  </r>
  <r>
    <x v="6"/>
    <x v="0"/>
    <x v="0"/>
    <s v="ROCKHAMPTON"/>
    <x v="0"/>
    <s v="2022-01-04"/>
    <x v="1"/>
    <x v="5"/>
    <n v="2"/>
    <n v="9"/>
    <n v="980"/>
    <n v="168"/>
  </r>
  <r>
    <x v="6"/>
    <x v="0"/>
    <x v="0"/>
    <s v="ROCKHAMPTON"/>
    <x v="0"/>
    <s v="2022-01-05"/>
    <x v="1"/>
    <x v="5"/>
    <n v="2"/>
    <n v="9"/>
    <n v="200"/>
    <n v="168"/>
  </r>
  <r>
    <x v="6"/>
    <x v="0"/>
    <x v="0"/>
    <s v="ROCKHAMPTON"/>
    <x v="0"/>
    <s v="2022-01-07"/>
    <x v="1"/>
    <x v="5"/>
    <n v="2"/>
    <n v="9"/>
    <n v="261"/>
    <n v="168"/>
  </r>
  <r>
    <x v="6"/>
    <x v="0"/>
    <x v="0"/>
    <s v="ROCKHAMPTON"/>
    <x v="0"/>
    <s v="2022-01-08"/>
    <x v="1"/>
    <x v="5"/>
    <n v="2"/>
    <n v="9"/>
    <n v="261"/>
    <n v="168"/>
  </r>
  <r>
    <x v="6"/>
    <x v="0"/>
    <x v="0"/>
    <s v="ROCKHAMPTON"/>
    <x v="0"/>
    <s v="2022-01-10"/>
    <x v="1"/>
    <x v="5"/>
    <n v="2"/>
    <n v="9"/>
    <n v="290"/>
    <n v="168"/>
  </r>
  <r>
    <x v="6"/>
    <x v="0"/>
    <x v="0"/>
    <s v="ROCKHAMPTON"/>
    <x v="0"/>
    <s v="2022-01-11"/>
    <x v="1"/>
    <x v="5"/>
    <n v="2"/>
    <n v="9"/>
    <n v="320"/>
    <n v="168"/>
  </r>
  <r>
    <x v="6"/>
    <x v="0"/>
    <x v="0"/>
    <s v="ROCKHAMPTON"/>
    <x v="0"/>
    <s v="2022-01-12"/>
    <x v="1"/>
    <x v="5"/>
    <n v="2"/>
    <n v="9"/>
    <n v="280"/>
    <n v="168"/>
  </r>
  <r>
    <x v="6"/>
    <x v="0"/>
    <x v="0"/>
    <s v="ROCKHAMPTON"/>
    <x v="0"/>
    <s v="2022-01-14"/>
    <x v="1"/>
    <x v="5"/>
    <n v="2"/>
    <n v="9"/>
    <n v="435"/>
    <n v="168"/>
  </r>
  <r>
    <x v="6"/>
    <x v="0"/>
    <x v="0"/>
    <s v="ROCKHAMPTON"/>
    <x v="0"/>
    <s v="2022-01-17"/>
    <x v="1"/>
    <x v="5"/>
    <n v="2"/>
    <n v="9"/>
    <n v="350"/>
    <n v="168"/>
  </r>
  <r>
    <x v="6"/>
    <x v="0"/>
    <x v="0"/>
    <s v="ROCKHAMPTON"/>
    <x v="0"/>
    <s v="2022-01-18"/>
    <x v="1"/>
    <x v="5"/>
    <n v="1"/>
    <n v="4.5"/>
    <n v="200"/>
    <n v="84"/>
  </r>
  <r>
    <x v="6"/>
    <x v="0"/>
    <x v="0"/>
    <s v="ROCKHAMPTON"/>
    <x v="0"/>
    <s v="2022-01-19"/>
    <x v="1"/>
    <x v="5"/>
    <n v="2"/>
    <n v="9"/>
    <n v="520"/>
    <n v="168"/>
  </r>
  <r>
    <x v="6"/>
    <x v="0"/>
    <x v="0"/>
    <s v="ROCKHAMPTON"/>
    <x v="0"/>
    <s v="2022-01-20"/>
    <x v="1"/>
    <x v="5"/>
    <n v="2"/>
    <n v="9"/>
    <n v="500"/>
    <n v="168"/>
  </r>
  <r>
    <x v="6"/>
    <x v="0"/>
    <x v="0"/>
    <s v="ROCKHAMPTON"/>
    <x v="0"/>
    <s v="2022-01-21"/>
    <x v="1"/>
    <x v="5"/>
    <n v="2"/>
    <n v="9"/>
    <n v="470"/>
    <n v="168"/>
  </r>
  <r>
    <x v="6"/>
    <x v="0"/>
    <x v="0"/>
    <s v="ROCKHAMPTON"/>
    <x v="0"/>
    <s v="2022-01-22"/>
    <x v="1"/>
    <x v="5"/>
    <n v="2"/>
    <n v="9"/>
    <n v="261"/>
    <n v="168"/>
  </r>
  <r>
    <x v="6"/>
    <x v="0"/>
    <x v="0"/>
    <s v="ROCKHAMPTON"/>
    <x v="0"/>
    <s v="2022-01-25"/>
    <x v="1"/>
    <x v="5"/>
    <n v="1"/>
    <n v="4.5"/>
    <n v="270"/>
    <n v="84"/>
  </r>
  <r>
    <x v="6"/>
    <x v="0"/>
    <x v="0"/>
    <s v="ROCKHAMPTON"/>
    <x v="0"/>
    <s v="2022-01-26"/>
    <x v="1"/>
    <x v="5"/>
    <n v="2"/>
    <n v="9"/>
    <n v="330"/>
    <n v="168"/>
  </r>
  <r>
    <x v="6"/>
    <x v="0"/>
    <x v="0"/>
    <s v="ROCKHAMPTON"/>
    <x v="0"/>
    <s v="2022-01-27"/>
    <x v="1"/>
    <x v="5"/>
    <n v="2"/>
    <n v="9"/>
    <n v="261"/>
    <n v="168"/>
  </r>
  <r>
    <x v="6"/>
    <x v="0"/>
    <x v="0"/>
    <s v="ROCKHAMPTON"/>
    <x v="0"/>
    <s v="2022-01-28"/>
    <x v="1"/>
    <x v="5"/>
    <n v="1"/>
    <n v="4.5"/>
    <n v="369"/>
    <n v="84"/>
  </r>
  <r>
    <x v="6"/>
    <x v="0"/>
    <x v="0"/>
    <s v="ROCKHAMPTON"/>
    <x v="0"/>
    <s v="2022-01-29"/>
    <x v="1"/>
    <x v="5"/>
    <n v="2"/>
    <n v="9"/>
    <n v="261"/>
    <n v="168"/>
  </r>
  <r>
    <x v="6"/>
    <x v="0"/>
    <x v="0"/>
    <s v="ROCKHAMPTON"/>
    <x v="0"/>
    <s v="2022-01-31"/>
    <x v="1"/>
    <x v="5"/>
    <n v="2"/>
    <n v="9"/>
    <n v="398"/>
    <n v="168"/>
  </r>
  <r>
    <x v="6"/>
    <x v="1"/>
    <x v="0"/>
    <s v="ROCKHAMPTON"/>
    <x v="0"/>
    <s v="2022-01-31"/>
    <x v="2"/>
    <x v="7"/>
    <n v="1"/>
    <n v="0"/>
    <n v="0"/>
    <n v="138.30000000000001"/>
  </r>
  <r>
    <x v="7"/>
    <x v="0"/>
    <x v="0"/>
    <s v="ROCKHAMPTON"/>
    <x v="0"/>
    <s v="2022-02-05"/>
    <x v="1"/>
    <x v="5"/>
    <n v="-1"/>
    <n v="-4.5"/>
    <n v="0"/>
    <n v="-84"/>
  </r>
  <r>
    <x v="7"/>
    <x v="0"/>
    <x v="0"/>
    <s v="ROCKHAMPTON"/>
    <x v="0"/>
    <s v="2022-02-05"/>
    <x v="6"/>
    <x v="5"/>
    <n v="3"/>
    <n v="13.5"/>
    <n v="0"/>
    <n v="252"/>
  </r>
  <r>
    <x v="7"/>
    <x v="0"/>
    <x v="0"/>
    <s v="ROCKHAMPTON"/>
    <x v="0"/>
    <s v="2022-02-01"/>
    <x v="1"/>
    <x v="5"/>
    <n v="2"/>
    <n v="9"/>
    <n v="1098"/>
    <n v="168"/>
  </r>
  <r>
    <x v="7"/>
    <x v="0"/>
    <x v="0"/>
    <s v="ROCKHAMPTON"/>
    <x v="0"/>
    <s v="2022-02-02"/>
    <x v="1"/>
    <x v="5"/>
    <n v="2"/>
    <n v="9"/>
    <n v="715"/>
    <n v="168"/>
  </r>
  <r>
    <x v="7"/>
    <x v="0"/>
    <x v="0"/>
    <s v="ROCKHAMPTON"/>
    <x v="0"/>
    <s v="2022-02-03"/>
    <x v="1"/>
    <x v="5"/>
    <n v="2"/>
    <n v="9"/>
    <n v="685"/>
    <n v="168"/>
  </r>
  <r>
    <x v="7"/>
    <x v="0"/>
    <x v="0"/>
    <s v="ROCKHAMPTON"/>
    <x v="0"/>
    <s v="2022-02-07"/>
    <x v="1"/>
    <x v="5"/>
    <n v="1"/>
    <n v="4.5"/>
    <n v="230"/>
    <n v="84"/>
  </r>
  <r>
    <x v="7"/>
    <x v="0"/>
    <x v="0"/>
    <s v="ROCKHAMPTON"/>
    <x v="0"/>
    <s v="2022-02-08"/>
    <x v="1"/>
    <x v="5"/>
    <n v="2"/>
    <n v="9"/>
    <n v="988"/>
    <n v="168"/>
  </r>
  <r>
    <x v="7"/>
    <x v="0"/>
    <x v="0"/>
    <s v="ROCKHAMPTON"/>
    <x v="0"/>
    <s v="2022-02-09"/>
    <x v="1"/>
    <x v="5"/>
    <n v="2"/>
    <n v="9"/>
    <n v="795"/>
    <n v="168"/>
  </r>
  <r>
    <x v="7"/>
    <x v="0"/>
    <x v="0"/>
    <s v="ROCKHAMPTON"/>
    <x v="0"/>
    <s v="2022-02-10"/>
    <x v="1"/>
    <x v="5"/>
    <n v="2"/>
    <n v="9"/>
    <n v="775"/>
    <n v="168"/>
  </r>
  <r>
    <x v="7"/>
    <x v="0"/>
    <x v="0"/>
    <s v="ROCKHAMPTON"/>
    <x v="0"/>
    <s v="2022-02-11"/>
    <x v="1"/>
    <x v="5"/>
    <n v="2"/>
    <n v="9"/>
    <n v="961"/>
    <n v="168"/>
  </r>
  <r>
    <x v="7"/>
    <x v="0"/>
    <x v="0"/>
    <s v="ROCKHAMPTON"/>
    <x v="0"/>
    <s v="2022-02-12"/>
    <x v="1"/>
    <x v="5"/>
    <n v="2"/>
    <n v="9"/>
    <n v="659"/>
    <n v="168"/>
  </r>
  <r>
    <x v="7"/>
    <x v="0"/>
    <x v="0"/>
    <s v="ROCKHAMPTON"/>
    <x v="0"/>
    <s v="2022-02-14"/>
    <x v="1"/>
    <x v="5"/>
    <n v="1"/>
    <n v="4.5"/>
    <n v="161"/>
    <n v="84"/>
  </r>
  <r>
    <x v="7"/>
    <x v="0"/>
    <x v="0"/>
    <s v="ROCKHAMPTON"/>
    <x v="0"/>
    <s v="2022-02-15"/>
    <x v="1"/>
    <x v="5"/>
    <n v="2"/>
    <n v="9"/>
    <n v="1017"/>
    <n v="168"/>
  </r>
  <r>
    <x v="7"/>
    <x v="0"/>
    <x v="0"/>
    <s v="ROCKHAMPTON"/>
    <x v="0"/>
    <s v="2022-02-16"/>
    <x v="1"/>
    <x v="5"/>
    <n v="4"/>
    <n v="18"/>
    <n v="916"/>
    <n v="336"/>
  </r>
  <r>
    <x v="7"/>
    <x v="0"/>
    <x v="0"/>
    <s v="ROCKHAMPTON"/>
    <x v="0"/>
    <s v="2022-02-17"/>
    <x v="1"/>
    <x v="5"/>
    <n v="2"/>
    <n v="9"/>
    <n v="732"/>
    <n v="168"/>
  </r>
  <r>
    <x v="7"/>
    <x v="0"/>
    <x v="0"/>
    <s v="ROCKHAMPTON"/>
    <x v="0"/>
    <s v="2022-02-18"/>
    <x v="1"/>
    <x v="5"/>
    <n v="2"/>
    <n v="9"/>
    <n v="1048"/>
    <n v="168"/>
  </r>
  <r>
    <x v="7"/>
    <x v="0"/>
    <x v="0"/>
    <s v="ROCKHAMPTON"/>
    <x v="0"/>
    <s v="2022-02-21"/>
    <x v="1"/>
    <x v="5"/>
    <n v="2"/>
    <n v="9"/>
    <n v="305"/>
    <n v="168"/>
  </r>
  <r>
    <x v="7"/>
    <x v="0"/>
    <x v="0"/>
    <s v="ROCKHAMPTON"/>
    <x v="0"/>
    <s v="2022-02-22"/>
    <x v="1"/>
    <x v="5"/>
    <n v="2"/>
    <n v="9"/>
    <n v="1058"/>
    <n v="168"/>
  </r>
  <r>
    <x v="7"/>
    <x v="0"/>
    <x v="0"/>
    <s v="ROCKHAMPTON"/>
    <x v="0"/>
    <s v="2022-02-23"/>
    <x v="1"/>
    <x v="5"/>
    <n v="2"/>
    <n v="9"/>
    <n v="868"/>
    <n v="168"/>
  </r>
  <r>
    <x v="7"/>
    <x v="0"/>
    <x v="0"/>
    <s v="ROCKHAMPTON"/>
    <x v="0"/>
    <s v="2022-02-24"/>
    <x v="1"/>
    <x v="5"/>
    <n v="2"/>
    <n v="9"/>
    <n v="888"/>
    <n v="168"/>
  </r>
  <r>
    <x v="7"/>
    <x v="0"/>
    <x v="0"/>
    <s v="ROCKHAMPTON"/>
    <x v="0"/>
    <s v="2022-02-25"/>
    <x v="1"/>
    <x v="5"/>
    <n v="2"/>
    <n v="9"/>
    <n v="809"/>
    <n v="168"/>
  </r>
  <r>
    <x v="7"/>
    <x v="0"/>
    <x v="0"/>
    <s v="ROCKHAMPTON"/>
    <x v="0"/>
    <s v="2022-02-26"/>
    <x v="1"/>
    <x v="5"/>
    <n v="2"/>
    <n v="9"/>
    <n v="998"/>
    <n v="168"/>
  </r>
  <r>
    <x v="7"/>
    <x v="0"/>
    <x v="0"/>
    <s v="ROCKHAMPTON"/>
    <x v="0"/>
    <s v="2022-02-28"/>
    <x v="1"/>
    <x v="5"/>
    <n v="2"/>
    <n v="9"/>
    <n v="196"/>
    <n v="168"/>
  </r>
  <r>
    <x v="7"/>
    <x v="0"/>
    <x v="0"/>
    <s v="ROCKHAMPTON"/>
    <x v="0"/>
    <s v="2022-02-04"/>
    <x v="5"/>
    <x v="5"/>
    <n v="1"/>
    <n v="4.5"/>
    <n v="0"/>
    <n v="84"/>
  </r>
  <r>
    <x v="7"/>
    <x v="2"/>
    <x v="1"/>
    <s v="ROCKHAMPTON"/>
    <x v="0"/>
    <s v="2022-02-15"/>
    <x v="3"/>
    <x v="3"/>
    <n v="1"/>
    <n v="3"/>
    <n v="289"/>
    <n v="78"/>
  </r>
  <r>
    <x v="8"/>
    <x v="0"/>
    <x v="0"/>
    <s v="ROCKHAMPTON"/>
    <x v="0"/>
    <s v="2022-03-01"/>
    <x v="1"/>
    <x v="5"/>
    <n v="2"/>
    <n v="9"/>
    <n v="261"/>
    <n v="168"/>
  </r>
  <r>
    <x v="8"/>
    <x v="0"/>
    <x v="0"/>
    <s v="ROCKHAMPTON"/>
    <x v="0"/>
    <s v="2022-03-02"/>
    <x v="1"/>
    <x v="5"/>
    <n v="1"/>
    <n v="4.5"/>
    <n v="179"/>
    <n v="84"/>
  </r>
  <r>
    <x v="8"/>
    <x v="0"/>
    <x v="0"/>
    <s v="ROCKHAMPTON"/>
    <x v="0"/>
    <s v="2022-03-03"/>
    <x v="1"/>
    <x v="5"/>
    <n v="2"/>
    <n v="9"/>
    <n v="1198"/>
    <n v="168"/>
  </r>
  <r>
    <x v="8"/>
    <x v="0"/>
    <x v="0"/>
    <s v="ROCKHAMPTON"/>
    <x v="0"/>
    <s v="2022-03-04"/>
    <x v="1"/>
    <x v="5"/>
    <n v="2"/>
    <n v="9"/>
    <n v="618"/>
    <n v="168"/>
  </r>
  <r>
    <x v="8"/>
    <x v="0"/>
    <x v="0"/>
    <s v="ROCKHAMPTON"/>
    <x v="0"/>
    <s v="2022-03-05"/>
    <x v="1"/>
    <x v="5"/>
    <n v="2"/>
    <n v="9"/>
    <n v="778"/>
    <n v="168"/>
  </r>
  <r>
    <x v="8"/>
    <x v="0"/>
    <x v="0"/>
    <s v="ROCKHAMPTON"/>
    <x v="0"/>
    <s v="2022-03-07"/>
    <x v="1"/>
    <x v="5"/>
    <n v="2"/>
    <n v="9"/>
    <n v="354"/>
    <n v="168"/>
  </r>
  <r>
    <x v="8"/>
    <x v="0"/>
    <x v="0"/>
    <s v="ROCKHAMPTON"/>
    <x v="0"/>
    <s v="2022-03-08"/>
    <x v="1"/>
    <x v="5"/>
    <n v="2"/>
    <n v="9"/>
    <n v="868"/>
    <n v="168"/>
  </r>
  <r>
    <x v="8"/>
    <x v="0"/>
    <x v="0"/>
    <s v="ROCKHAMPTON"/>
    <x v="0"/>
    <s v="2022-03-09"/>
    <x v="1"/>
    <x v="5"/>
    <n v="2"/>
    <n v="9"/>
    <n v="577"/>
    <n v="168"/>
  </r>
  <r>
    <x v="8"/>
    <x v="0"/>
    <x v="0"/>
    <s v="ROCKHAMPTON"/>
    <x v="0"/>
    <s v="2022-03-10"/>
    <x v="1"/>
    <x v="5"/>
    <n v="2"/>
    <n v="9"/>
    <n v="758"/>
    <n v="168"/>
  </r>
  <r>
    <x v="8"/>
    <x v="0"/>
    <x v="0"/>
    <s v="ROCKHAMPTON"/>
    <x v="0"/>
    <s v="2022-03-11"/>
    <x v="1"/>
    <x v="5"/>
    <n v="2"/>
    <n v="9"/>
    <n v="1278"/>
    <n v="168"/>
  </r>
  <r>
    <x v="8"/>
    <x v="0"/>
    <x v="0"/>
    <s v="ROCKHAMPTON"/>
    <x v="0"/>
    <s v="2022-03-12"/>
    <x v="1"/>
    <x v="5"/>
    <n v="2"/>
    <n v="9"/>
    <n v="785"/>
    <n v="168"/>
  </r>
  <r>
    <x v="8"/>
    <x v="0"/>
    <x v="0"/>
    <s v="ROCKHAMPTON"/>
    <x v="0"/>
    <s v="2022-03-14"/>
    <x v="1"/>
    <x v="5"/>
    <n v="1"/>
    <n v="4.5"/>
    <n v="229"/>
    <n v="84"/>
  </r>
  <r>
    <x v="8"/>
    <x v="0"/>
    <x v="0"/>
    <s v="ROCKHAMPTON"/>
    <x v="0"/>
    <s v="2022-03-15"/>
    <x v="1"/>
    <x v="5"/>
    <n v="2"/>
    <n v="9"/>
    <n v="978"/>
    <n v="168"/>
  </r>
  <r>
    <x v="8"/>
    <x v="0"/>
    <x v="0"/>
    <s v="ROCKHAMPTON"/>
    <x v="0"/>
    <s v="2022-03-16"/>
    <x v="1"/>
    <x v="5"/>
    <n v="2"/>
    <n v="9"/>
    <n v="768"/>
    <n v="168"/>
  </r>
  <r>
    <x v="8"/>
    <x v="0"/>
    <x v="0"/>
    <s v="ROCKHAMPTON"/>
    <x v="0"/>
    <s v="2022-03-17"/>
    <x v="1"/>
    <x v="5"/>
    <n v="2"/>
    <n v="9"/>
    <n v="811"/>
    <n v="168"/>
  </r>
  <r>
    <x v="8"/>
    <x v="0"/>
    <x v="0"/>
    <s v="ROCKHAMPTON"/>
    <x v="0"/>
    <s v="2022-03-18"/>
    <x v="1"/>
    <x v="5"/>
    <n v="2"/>
    <n v="9"/>
    <n v="748"/>
    <n v="168"/>
  </r>
  <r>
    <x v="8"/>
    <x v="0"/>
    <x v="0"/>
    <s v="ROCKHAMPTON"/>
    <x v="0"/>
    <s v="2022-03-19"/>
    <x v="1"/>
    <x v="5"/>
    <n v="2"/>
    <n v="9"/>
    <n v="740"/>
    <n v="168"/>
  </r>
  <r>
    <x v="8"/>
    <x v="0"/>
    <x v="0"/>
    <s v="ROCKHAMPTON"/>
    <x v="0"/>
    <s v="2022-03-21"/>
    <x v="1"/>
    <x v="5"/>
    <n v="2"/>
    <n v="9"/>
    <n v="290"/>
    <n v="168"/>
  </r>
  <r>
    <x v="8"/>
    <x v="0"/>
    <x v="0"/>
    <s v="ROCKHAMPTON"/>
    <x v="0"/>
    <s v="2022-03-22"/>
    <x v="1"/>
    <x v="5"/>
    <n v="2"/>
    <n v="9"/>
    <n v="868"/>
    <n v="168"/>
  </r>
  <r>
    <x v="8"/>
    <x v="0"/>
    <x v="0"/>
    <s v="ROCKHAMPTON"/>
    <x v="0"/>
    <s v="2022-03-23"/>
    <x v="1"/>
    <x v="5"/>
    <n v="2"/>
    <n v="9"/>
    <n v="261"/>
    <n v="168"/>
  </r>
  <r>
    <x v="8"/>
    <x v="0"/>
    <x v="0"/>
    <s v="ROCKHAMPTON"/>
    <x v="0"/>
    <s v="2022-03-24"/>
    <x v="1"/>
    <x v="5"/>
    <n v="2"/>
    <n v="9"/>
    <n v="675"/>
    <n v="168"/>
  </r>
  <r>
    <x v="8"/>
    <x v="0"/>
    <x v="0"/>
    <s v="ROCKHAMPTON"/>
    <x v="0"/>
    <s v="2022-03-25"/>
    <x v="1"/>
    <x v="5"/>
    <n v="2"/>
    <n v="9"/>
    <n v="798"/>
    <n v="168"/>
  </r>
  <r>
    <x v="8"/>
    <x v="0"/>
    <x v="0"/>
    <s v="ROCKHAMPTON"/>
    <x v="0"/>
    <s v="2022-03-26"/>
    <x v="1"/>
    <x v="5"/>
    <n v="2"/>
    <n v="9"/>
    <n v="828"/>
    <n v="168"/>
  </r>
  <r>
    <x v="8"/>
    <x v="0"/>
    <x v="0"/>
    <s v="ROCKHAMPTON"/>
    <x v="0"/>
    <s v="2022-03-28"/>
    <x v="1"/>
    <x v="5"/>
    <n v="2"/>
    <n v="9"/>
    <n v="298"/>
    <n v="168"/>
  </r>
  <r>
    <x v="8"/>
    <x v="0"/>
    <x v="0"/>
    <s v="ROCKHAMPTON"/>
    <x v="0"/>
    <s v="2022-03-29"/>
    <x v="1"/>
    <x v="5"/>
    <n v="2"/>
    <n v="9"/>
    <n v="768"/>
    <n v="168"/>
  </r>
  <r>
    <x v="8"/>
    <x v="0"/>
    <x v="0"/>
    <s v="ROCKHAMPTON"/>
    <x v="0"/>
    <s v="2022-03-30"/>
    <x v="1"/>
    <x v="5"/>
    <n v="2"/>
    <n v="9"/>
    <n v="968"/>
    <n v="168"/>
  </r>
  <r>
    <x v="8"/>
    <x v="0"/>
    <x v="0"/>
    <s v="ROCKHAMPTON"/>
    <x v="0"/>
    <s v="2022-03-31"/>
    <x v="1"/>
    <x v="5"/>
    <n v="2"/>
    <n v="9"/>
    <n v="887"/>
    <n v="168"/>
  </r>
  <r>
    <x v="9"/>
    <x v="0"/>
    <x v="0"/>
    <s v="ROCKHAMPTON"/>
    <x v="0"/>
    <s v="2022-04-01"/>
    <x v="1"/>
    <x v="5"/>
    <n v="2"/>
    <n v="9"/>
    <n v="1132"/>
    <n v="168"/>
  </r>
  <r>
    <x v="9"/>
    <x v="0"/>
    <x v="0"/>
    <s v="ROCKHAMPTON"/>
    <x v="0"/>
    <s v="2022-04-02"/>
    <x v="1"/>
    <x v="5"/>
    <n v="2"/>
    <n v="9"/>
    <n v="587"/>
    <n v="168"/>
  </r>
  <r>
    <x v="9"/>
    <x v="0"/>
    <x v="0"/>
    <s v="ROCKHAMPTON"/>
    <x v="0"/>
    <s v="2022-04-04"/>
    <x v="1"/>
    <x v="5"/>
    <n v="2"/>
    <n v="9"/>
    <n v="84"/>
    <n v="168"/>
  </r>
  <r>
    <x v="9"/>
    <x v="0"/>
    <x v="0"/>
    <s v="ROCKHAMPTON"/>
    <x v="0"/>
    <s v="2022-04-05"/>
    <x v="1"/>
    <x v="5"/>
    <n v="2"/>
    <n v="9"/>
    <n v="785"/>
    <n v="168"/>
  </r>
  <r>
    <x v="9"/>
    <x v="0"/>
    <x v="0"/>
    <s v="ROCKHAMPTON"/>
    <x v="0"/>
    <s v="2022-04-06"/>
    <x v="1"/>
    <x v="5"/>
    <n v="2"/>
    <n v="9"/>
    <n v="317"/>
    <n v="168"/>
  </r>
  <r>
    <x v="9"/>
    <x v="0"/>
    <x v="0"/>
    <s v="ROCKHAMPTON"/>
    <x v="0"/>
    <s v="2022-04-07"/>
    <x v="1"/>
    <x v="5"/>
    <n v="2"/>
    <n v="9"/>
    <n v="176"/>
    <n v="168"/>
  </r>
  <r>
    <x v="9"/>
    <x v="0"/>
    <x v="0"/>
    <s v="ROCKHAMPTON"/>
    <x v="0"/>
    <s v="2022-04-08"/>
    <x v="1"/>
    <x v="5"/>
    <n v="2"/>
    <n v="9"/>
    <n v="448"/>
    <n v="168"/>
  </r>
  <r>
    <x v="9"/>
    <x v="0"/>
    <x v="0"/>
    <s v="ROCKHAMPTON"/>
    <x v="0"/>
    <s v="2022-04-09"/>
    <x v="1"/>
    <x v="5"/>
    <n v="2"/>
    <n v="9"/>
    <n v="121"/>
    <n v="168"/>
  </r>
  <r>
    <x v="9"/>
    <x v="0"/>
    <x v="0"/>
    <s v="ROCKHAMPTON"/>
    <x v="0"/>
    <s v="2022-04-11"/>
    <x v="1"/>
    <x v="5"/>
    <n v="2"/>
    <n v="9"/>
    <n v="271"/>
    <n v="168"/>
  </r>
  <r>
    <x v="9"/>
    <x v="0"/>
    <x v="0"/>
    <s v="ROCKHAMPTON"/>
    <x v="0"/>
    <s v="2022-04-12"/>
    <x v="1"/>
    <x v="5"/>
    <n v="2"/>
    <n v="9"/>
    <n v="184"/>
    <n v="168"/>
  </r>
  <r>
    <x v="9"/>
    <x v="0"/>
    <x v="0"/>
    <s v="ROCKHAMPTON"/>
    <x v="0"/>
    <s v="2022-04-13"/>
    <x v="1"/>
    <x v="5"/>
    <n v="2"/>
    <n v="9"/>
    <n v="240"/>
    <n v="168"/>
  </r>
  <r>
    <x v="9"/>
    <x v="0"/>
    <x v="0"/>
    <s v="ROCKHAMPTON"/>
    <x v="0"/>
    <s v="2022-04-14"/>
    <x v="1"/>
    <x v="5"/>
    <n v="2"/>
    <n v="9"/>
    <n v="373"/>
    <n v="168"/>
  </r>
  <r>
    <x v="9"/>
    <x v="0"/>
    <x v="0"/>
    <s v="ROCKHAMPTON"/>
    <x v="0"/>
    <s v="2022-04-15"/>
    <x v="1"/>
    <x v="5"/>
    <n v="2"/>
    <n v="9"/>
    <n v="120"/>
    <n v="168"/>
  </r>
  <r>
    <x v="9"/>
    <x v="0"/>
    <x v="0"/>
    <s v="ROCKHAMPTON"/>
    <x v="0"/>
    <s v="2022-04-16"/>
    <x v="1"/>
    <x v="5"/>
    <n v="0"/>
    <n v="0"/>
    <n v="0"/>
    <n v="0"/>
  </r>
  <r>
    <x v="9"/>
    <x v="0"/>
    <x v="0"/>
    <s v="ROCKHAMPTON"/>
    <x v="0"/>
    <s v="2022-04-18"/>
    <x v="1"/>
    <x v="5"/>
    <n v="2"/>
    <n v="9"/>
    <n v="67"/>
    <n v="168"/>
  </r>
  <r>
    <x v="9"/>
    <x v="0"/>
    <x v="0"/>
    <s v="ROCKHAMPTON"/>
    <x v="0"/>
    <s v="2022-04-19"/>
    <x v="1"/>
    <x v="5"/>
    <n v="0"/>
    <n v="0"/>
    <n v="0"/>
    <n v="0"/>
  </r>
  <r>
    <x v="9"/>
    <x v="0"/>
    <x v="0"/>
    <s v="ROCKHAMPTON"/>
    <x v="0"/>
    <s v="2022-04-20"/>
    <x v="1"/>
    <x v="5"/>
    <n v="2"/>
    <n v="9"/>
    <n v="468"/>
    <n v="168"/>
  </r>
  <r>
    <x v="9"/>
    <x v="0"/>
    <x v="0"/>
    <s v="ROCKHAMPTON"/>
    <x v="0"/>
    <s v="2022-04-21"/>
    <x v="1"/>
    <x v="5"/>
    <n v="1"/>
    <n v="4.5"/>
    <n v="270"/>
    <n v="84"/>
  </r>
  <r>
    <x v="9"/>
    <x v="0"/>
    <x v="0"/>
    <s v="ROCKHAMPTON"/>
    <x v="0"/>
    <s v="2022-04-22"/>
    <x v="1"/>
    <x v="5"/>
    <n v="2"/>
    <n v="9"/>
    <n v="658"/>
    <n v="168"/>
  </r>
  <r>
    <x v="9"/>
    <x v="0"/>
    <x v="0"/>
    <s v="ROCKHAMPTON"/>
    <x v="0"/>
    <s v="2022-04-23"/>
    <x v="1"/>
    <x v="5"/>
    <n v="2"/>
    <n v="9"/>
    <n v="637"/>
    <n v="168"/>
  </r>
  <r>
    <x v="9"/>
    <x v="0"/>
    <x v="0"/>
    <s v="ROCKHAMPTON"/>
    <x v="0"/>
    <s v="2022-04-25"/>
    <x v="1"/>
    <x v="5"/>
    <n v="2"/>
    <n v="9"/>
    <n v="269"/>
    <n v="168"/>
  </r>
  <r>
    <x v="9"/>
    <x v="0"/>
    <x v="0"/>
    <s v="ROCKHAMPTON"/>
    <x v="0"/>
    <s v="2022-04-26"/>
    <x v="1"/>
    <x v="5"/>
    <n v="1"/>
    <n v="4.5"/>
    <n v="89"/>
    <n v="84"/>
  </r>
  <r>
    <x v="9"/>
    <x v="0"/>
    <x v="0"/>
    <s v="ROCKHAMPTON"/>
    <x v="0"/>
    <s v="2022-04-27"/>
    <x v="1"/>
    <x v="5"/>
    <n v="2"/>
    <n v="9"/>
    <n v="828"/>
    <n v="168"/>
  </r>
  <r>
    <x v="9"/>
    <x v="0"/>
    <x v="0"/>
    <s v="ROCKHAMPTON"/>
    <x v="0"/>
    <s v="2022-04-28"/>
    <x v="1"/>
    <x v="5"/>
    <n v="2"/>
    <n v="9"/>
    <n v="720"/>
    <n v="168"/>
  </r>
  <r>
    <x v="9"/>
    <x v="0"/>
    <x v="0"/>
    <s v="ROCKHAMPTON"/>
    <x v="0"/>
    <s v="2022-04-29"/>
    <x v="1"/>
    <x v="5"/>
    <n v="2"/>
    <n v="9"/>
    <n v="708"/>
    <n v="168"/>
  </r>
  <r>
    <x v="9"/>
    <x v="0"/>
    <x v="0"/>
    <s v="ROCKHAMPTON"/>
    <x v="0"/>
    <s v="2022-04-30"/>
    <x v="1"/>
    <x v="5"/>
    <n v="2"/>
    <n v="9"/>
    <n v="740"/>
    <n v="168"/>
  </r>
  <r>
    <x v="10"/>
    <x v="0"/>
    <x v="0"/>
    <s v="ROCKHAMPTON"/>
    <x v="0"/>
    <s v="2022-05-02"/>
    <x v="1"/>
    <x v="5"/>
    <n v="0"/>
    <n v="0"/>
    <n v="141"/>
    <n v="0"/>
  </r>
  <r>
    <x v="10"/>
    <x v="0"/>
    <x v="0"/>
    <s v="ROCKHAMPTON"/>
    <x v="0"/>
    <s v="2022-05-02"/>
    <x v="1"/>
    <x v="8"/>
    <n v="2"/>
    <n v="9"/>
    <n v="261"/>
    <n v="224.4"/>
  </r>
  <r>
    <x v="10"/>
    <x v="0"/>
    <x v="0"/>
    <s v="ROCKHAMPTON"/>
    <x v="0"/>
    <s v="2022-05-03"/>
    <x v="1"/>
    <x v="5"/>
    <n v="0"/>
    <n v="0"/>
    <n v="169"/>
    <n v="0"/>
  </r>
  <r>
    <x v="10"/>
    <x v="0"/>
    <x v="0"/>
    <s v="ROCKHAMPTON"/>
    <x v="0"/>
    <s v="2022-05-03"/>
    <x v="1"/>
    <x v="8"/>
    <n v="1"/>
    <n v="4.5"/>
    <n v="130.5"/>
    <n v="112.2"/>
  </r>
  <r>
    <x v="10"/>
    <x v="0"/>
    <x v="0"/>
    <s v="ROCKHAMPTON"/>
    <x v="0"/>
    <s v="2022-05-04"/>
    <x v="1"/>
    <x v="5"/>
    <n v="0"/>
    <n v="0"/>
    <n v="762"/>
    <n v="0"/>
  </r>
  <r>
    <x v="10"/>
    <x v="0"/>
    <x v="0"/>
    <s v="ROCKHAMPTON"/>
    <x v="0"/>
    <s v="2022-05-04"/>
    <x v="1"/>
    <x v="8"/>
    <n v="2"/>
    <n v="9"/>
    <n v="261"/>
    <n v="224.4"/>
  </r>
  <r>
    <x v="10"/>
    <x v="0"/>
    <x v="0"/>
    <s v="ROCKHAMPTON"/>
    <x v="0"/>
    <s v="2022-05-05"/>
    <x v="1"/>
    <x v="5"/>
    <n v="0"/>
    <n v="0"/>
    <n v="512"/>
    <n v="0"/>
  </r>
  <r>
    <x v="10"/>
    <x v="0"/>
    <x v="0"/>
    <s v="ROCKHAMPTON"/>
    <x v="0"/>
    <s v="2022-05-05"/>
    <x v="1"/>
    <x v="8"/>
    <n v="2"/>
    <n v="9"/>
    <n v="261"/>
    <n v="224.4"/>
  </r>
  <r>
    <x v="10"/>
    <x v="0"/>
    <x v="0"/>
    <s v="ROCKHAMPTON"/>
    <x v="0"/>
    <s v="2022-05-06"/>
    <x v="1"/>
    <x v="5"/>
    <n v="0"/>
    <n v="0"/>
    <n v="858"/>
    <n v="0"/>
  </r>
  <r>
    <x v="10"/>
    <x v="0"/>
    <x v="0"/>
    <s v="ROCKHAMPTON"/>
    <x v="0"/>
    <s v="2022-05-06"/>
    <x v="1"/>
    <x v="8"/>
    <n v="2"/>
    <n v="9"/>
    <n v="261"/>
    <n v="224.4"/>
  </r>
  <r>
    <x v="10"/>
    <x v="0"/>
    <x v="0"/>
    <s v="ROCKHAMPTON"/>
    <x v="0"/>
    <s v="2022-05-07"/>
    <x v="1"/>
    <x v="5"/>
    <n v="0"/>
    <n v="0"/>
    <n v="346"/>
    <n v="0"/>
  </r>
  <r>
    <x v="10"/>
    <x v="0"/>
    <x v="0"/>
    <s v="ROCKHAMPTON"/>
    <x v="0"/>
    <s v="2022-05-07"/>
    <x v="1"/>
    <x v="8"/>
    <n v="2"/>
    <n v="9"/>
    <n v="261"/>
    <n v="224.4"/>
  </r>
  <r>
    <x v="10"/>
    <x v="0"/>
    <x v="0"/>
    <s v="ROCKHAMPTON"/>
    <x v="0"/>
    <s v="2022-05-09"/>
    <x v="1"/>
    <x v="5"/>
    <n v="0"/>
    <n v="0"/>
    <n v="698"/>
    <n v="0"/>
  </r>
  <r>
    <x v="10"/>
    <x v="0"/>
    <x v="0"/>
    <s v="ROCKHAMPTON"/>
    <x v="0"/>
    <s v="2022-05-09"/>
    <x v="1"/>
    <x v="8"/>
    <n v="2"/>
    <n v="9"/>
    <n v="261"/>
    <n v="224.4"/>
  </r>
  <r>
    <x v="10"/>
    <x v="0"/>
    <x v="0"/>
    <s v="ROCKHAMPTON"/>
    <x v="0"/>
    <s v="2022-05-10"/>
    <x v="1"/>
    <x v="5"/>
    <n v="0"/>
    <n v="0"/>
    <n v="788"/>
    <n v="0"/>
  </r>
  <r>
    <x v="10"/>
    <x v="0"/>
    <x v="0"/>
    <s v="ROCKHAMPTON"/>
    <x v="0"/>
    <s v="2022-05-10"/>
    <x v="1"/>
    <x v="8"/>
    <n v="2"/>
    <n v="9"/>
    <n v="261"/>
    <n v="224.4"/>
  </r>
  <r>
    <x v="10"/>
    <x v="0"/>
    <x v="0"/>
    <s v="ROCKHAMPTON"/>
    <x v="0"/>
    <s v="2022-05-11"/>
    <x v="1"/>
    <x v="5"/>
    <n v="0"/>
    <n v="0"/>
    <n v="769"/>
    <n v="0"/>
  </r>
  <r>
    <x v="10"/>
    <x v="0"/>
    <x v="0"/>
    <s v="ROCKHAMPTON"/>
    <x v="0"/>
    <s v="2022-05-11"/>
    <x v="1"/>
    <x v="8"/>
    <n v="2"/>
    <n v="9"/>
    <n v="261"/>
    <n v="224.4"/>
  </r>
  <r>
    <x v="10"/>
    <x v="0"/>
    <x v="0"/>
    <s v="ROCKHAMPTON"/>
    <x v="0"/>
    <s v="2022-05-12"/>
    <x v="1"/>
    <x v="5"/>
    <n v="0"/>
    <n v="0"/>
    <n v="818"/>
    <n v="0"/>
  </r>
  <r>
    <x v="10"/>
    <x v="0"/>
    <x v="0"/>
    <s v="ROCKHAMPTON"/>
    <x v="0"/>
    <s v="2022-05-12"/>
    <x v="1"/>
    <x v="8"/>
    <n v="2"/>
    <n v="9"/>
    <n v="261"/>
    <n v="224.4"/>
  </r>
  <r>
    <x v="10"/>
    <x v="0"/>
    <x v="0"/>
    <s v="ROCKHAMPTON"/>
    <x v="0"/>
    <s v="2022-05-13"/>
    <x v="1"/>
    <x v="5"/>
    <n v="0"/>
    <n v="0"/>
    <n v="949"/>
    <n v="0"/>
  </r>
  <r>
    <x v="10"/>
    <x v="0"/>
    <x v="0"/>
    <s v="ROCKHAMPTON"/>
    <x v="0"/>
    <s v="2022-05-13"/>
    <x v="1"/>
    <x v="8"/>
    <n v="2"/>
    <n v="9"/>
    <n v="261"/>
    <n v="224.4"/>
  </r>
  <r>
    <x v="10"/>
    <x v="0"/>
    <x v="0"/>
    <s v="ROCKHAMPTON"/>
    <x v="0"/>
    <s v="2022-05-14"/>
    <x v="1"/>
    <x v="5"/>
    <n v="0"/>
    <n v="0"/>
    <n v="739"/>
    <n v="0"/>
  </r>
  <r>
    <x v="10"/>
    <x v="0"/>
    <x v="0"/>
    <s v="ROCKHAMPTON"/>
    <x v="0"/>
    <s v="2022-05-14"/>
    <x v="1"/>
    <x v="8"/>
    <n v="2"/>
    <n v="9"/>
    <n v="261"/>
    <n v="224.4"/>
  </r>
  <r>
    <x v="10"/>
    <x v="0"/>
    <x v="0"/>
    <s v="ROCKHAMPTON"/>
    <x v="0"/>
    <s v="2022-05-16"/>
    <x v="1"/>
    <x v="5"/>
    <n v="0"/>
    <n v="0"/>
    <n v="30"/>
    <n v="0"/>
  </r>
  <r>
    <x v="10"/>
    <x v="0"/>
    <x v="0"/>
    <s v="ROCKHAMPTON"/>
    <x v="0"/>
    <s v="2022-05-16"/>
    <x v="1"/>
    <x v="8"/>
    <n v="1"/>
    <n v="4.5"/>
    <n v="130.5"/>
    <n v="112.2"/>
  </r>
  <r>
    <x v="10"/>
    <x v="0"/>
    <x v="0"/>
    <s v="ROCKHAMPTON"/>
    <x v="0"/>
    <s v="2022-05-17"/>
    <x v="1"/>
    <x v="5"/>
    <n v="0"/>
    <n v="0"/>
    <n v="238"/>
    <n v="0"/>
  </r>
  <r>
    <x v="10"/>
    <x v="0"/>
    <x v="0"/>
    <s v="ROCKHAMPTON"/>
    <x v="0"/>
    <s v="2022-05-17"/>
    <x v="1"/>
    <x v="8"/>
    <n v="2"/>
    <n v="9"/>
    <n v="261"/>
    <n v="224.4"/>
  </r>
  <r>
    <x v="10"/>
    <x v="0"/>
    <x v="0"/>
    <s v="ROCKHAMPTON"/>
    <x v="0"/>
    <s v="2022-05-18"/>
    <x v="1"/>
    <x v="5"/>
    <n v="0"/>
    <n v="0"/>
    <n v="798"/>
    <n v="0"/>
  </r>
  <r>
    <x v="10"/>
    <x v="0"/>
    <x v="0"/>
    <s v="ROCKHAMPTON"/>
    <x v="0"/>
    <s v="2022-05-18"/>
    <x v="1"/>
    <x v="8"/>
    <n v="2"/>
    <n v="9"/>
    <n v="261"/>
    <n v="224.4"/>
  </r>
  <r>
    <x v="10"/>
    <x v="0"/>
    <x v="0"/>
    <s v="ROCKHAMPTON"/>
    <x v="0"/>
    <s v="2022-05-19"/>
    <x v="1"/>
    <x v="8"/>
    <n v="2"/>
    <n v="9"/>
    <n v="788"/>
    <n v="224.4"/>
  </r>
  <r>
    <x v="10"/>
    <x v="0"/>
    <x v="0"/>
    <s v="ROCKHAMPTON"/>
    <x v="0"/>
    <s v="2022-05-20"/>
    <x v="1"/>
    <x v="8"/>
    <n v="2"/>
    <n v="9"/>
    <n v="938"/>
    <n v="224.4"/>
  </r>
  <r>
    <x v="10"/>
    <x v="0"/>
    <x v="0"/>
    <s v="ROCKHAMPTON"/>
    <x v="0"/>
    <s v="2022-05-21"/>
    <x v="1"/>
    <x v="8"/>
    <n v="2"/>
    <n v="9"/>
    <n v="570"/>
    <n v="224.4"/>
  </r>
  <r>
    <x v="10"/>
    <x v="0"/>
    <x v="0"/>
    <s v="ROCKHAMPTON"/>
    <x v="0"/>
    <s v="2022-05-23"/>
    <x v="1"/>
    <x v="8"/>
    <n v="2"/>
    <n v="9"/>
    <n v="698"/>
    <n v="224.4"/>
  </r>
  <r>
    <x v="10"/>
    <x v="0"/>
    <x v="0"/>
    <s v="ROCKHAMPTON"/>
    <x v="0"/>
    <s v="2022-05-24"/>
    <x v="1"/>
    <x v="8"/>
    <n v="2"/>
    <n v="9"/>
    <n v="998"/>
    <n v="224.4"/>
  </r>
  <r>
    <x v="10"/>
    <x v="0"/>
    <x v="0"/>
    <s v="ROCKHAMPTON"/>
    <x v="0"/>
    <s v="2022-05-25"/>
    <x v="1"/>
    <x v="8"/>
    <n v="2"/>
    <n v="9"/>
    <n v="869"/>
    <n v="224.4"/>
  </r>
  <r>
    <x v="10"/>
    <x v="0"/>
    <x v="0"/>
    <s v="ROCKHAMPTON"/>
    <x v="0"/>
    <s v="2022-05-26"/>
    <x v="1"/>
    <x v="8"/>
    <n v="2"/>
    <n v="9"/>
    <n v="680"/>
    <n v="224.4"/>
  </r>
  <r>
    <x v="10"/>
    <x v="0"/>
    <x v="0"/>
    <s v="ROCKHAMPTON"/>
    <x v="0"/>
    <s v="2022-05-27"/>
    <x v="1"/>
    <x v="8"/>
    <n v="2"/>
    <n v="9"/>
    <n v="800"/>
    <n v="224.4"/>
  </r>
  <r>
    <x v="10"/>
    <x v="0"/>
    <x v="0"/>
    <s v="ROCKHAMPTON"/>
    <x v="0"/>
    <s v="2022-05-28"/>
    <x v="1"/>
    <x v="8"/>
    <n v="2"/>
    <n v="9"/>
    <n v="807"/>
    <n v="224.4"/>
  </r>
  <r>
    <x v="10"/>
    <x v="0"/>
    <x v="0"/>
    <s v="ROCKHAMPTON"/>
    <x v="0"/>
    <s v="2022-05-30"/>
    <x v="1"/>
    <x v="8"/>
    <n v="2"/>
    <n v="9"/>
    <n v="176"/>
    <n v="224.4"/>
  </r>
  <r>
    <x v="10"/>
    <x v="0"/>
    <x v="0"/>
    <s v="ROCKHAMPTON"/>
    <x v="0"/>
    <s v="2022-05-31"/>
    <x v="1"/>
    <x v="8"/>
    <n v="2"/>
    <n v="9"/>
    <n v="815"/>
    <n v="224.4"/>
  </r>
  <r>
    <x v="11"/>
    <x v="0"/>
    <x v="0"/>
    <s v="ROCKHAMPTON"/>
    <x v="0"/>
    <s v="2022-06-01"/>
    <x v="1"/>
    <x v="8"/>
    <n v="2"/>
    <n v="9"/>
    <n v="809"/>
    <n v="224.4"/>
  </r>
  <r>
    <x v="11"/>
    <x v="0"/>
    <x v="0"/>
    <s v="ROCKHAMPTON"/>
    <x v="0"/>
    <s v="2022-06-02"/>
    <x v="1"/>
    <x v="8"/>
    <n v="2"/>
    <n v="9"/>
    <n v="948"/>
    <n v="224.4"/>
  </r>
  <r>
    <x v="11"/>
    <x v="0"/>
    <x v="0"/>
    <s v="ROCKHAMPTON"/>
    <x v="0"/>
    <s v="2022-06-03"/>
    <x v="1"/>
    <x v="8"/>
    <n v="2"/>
    <n v="9"/>
    <n v="788"/>
    <n v="224.4"/>
  </r>
  <r>
    <x v="11"/>
    <x v="0"/>
    <x v="0"/>
    <s v="ROCKHAMPTON"/>
    <x v="0"/>
    <s v="2022-06-04"/>
    <x v="1"/>
    <x v="8"/>
    <n v="2"/>
    <n v="9"/>
    <n v="738"/>
    <n v="224.4"/>
  </r>
  <r>
    <x v="11"/>
    <x v="0"/>
    <x v="0"/>
    <s v="ROCKHAMPTON"/>
    <x v="0"/>
    <s v="2022-06-06"/>
    <x v="1"/>
    <x v="8"/>
    <n v="2"/>
    <n v="9"/>
    <n v="295"/>
    <n v="224.4"/>
  </r>
  <r>
    <x v="11"/>
    <x v="0"/>
    <x v="0"/>
    <s v="ROCKHAMPTON"/>
    <x v="0"/>
    <s v="2022-06-07"/>
    <x v="1"/>
    <x v="8"/>
    <n v="2"/>
    <n v="9"/>
    <n v="883"/>
    <n v="224.4"/>
  </r>
  <r>
    <x v="11"/>
    <x v="0"/>
    <x v="0"/>
    <s v="ROCKHAMPTON"/>
    <x v="0"/>
    <s v="2022-06-08"/>
    <x v="1"/>
    <x v="8"/>
    <n v="2"/>
    <n v="9"/>
    <n v="1085"/>
    <n v="224.4"/>
  </r>
  <r>
    <x v="11"/>
    <x v="0"/>
    <x v="0"/>
    <s v="ROCKHAMPTON"/>
    <x v="0"/>
    <s v="2022-06-09"/>
    <x v="1"/>
    <x v="8"/>
    <n v="2"/>
    <n v="9"/>
    <n v="658"/>
    <n v="224.4"/>
  </r>
  <r>
    <x v="11"/>
    <x v="0"/>
    <x v="0"/>
    <s v="ROCKHAMPTON"/>
    <x v="0"/>
    <s v="2022-06-10"/>
    <x v="1"/>
    <x v="8"/>
    <n v="2"/>
    <n v="9"/>
    <n v="285"/>
    <n v="224.4"/>
  </r>
  <r>
    <x v="11"/>
    <x v="0"/>
    <x v="0"/>
    <s v="ROCKHAMPTON"/>
    <x v="0"/>
    <s v="2022-06-11"/>
    <x v="1"/>
    <x v="8"/>
    <n v="2"/>
    <n v="9"/>
    <n v="618"/>
    <n v="224.4"/>
  </r>
  <r>
    <x v="11"/>
    <x v="0"/>
    <x v="0"/>
    <s v="ROCKHAMPTON"/>
    <x v="0"/>
    <s v="2022-06-13"/>
    <x v="1"/>
    <x v="8"/>
    <n v="1"/>
    <n v="4.5"/>
    <n v="119"/>
    <n v="112.2"/>
  </r>
  <r>
    <x v="11"/>
    <x v="0"/>
    <x v="0"/>
    <s v="ROCKHAMPTON"/>
    <x v="0"/>
    <s v="2022-06-13"/>
    <x v="7"/>
    <x v="9"/>
    <n v="1"/>
    <n v="0"/>
    <n v="0"/>
    <n v="0"/>
  </r>
  <r>
    <x v="11"/>
    <x v="0"/>
    <x v="0"/>
    <s v="ROCKHAMPTON"/>
    <x v="0"/>
    <s v="2022-06-14"/>
    <x v="1"/>
    <x v="8"/>
    <n v="2"/>
    <n v="9"/>
    <n v="833"/>
    <n v="224.4"/>
  </r>
  <r>
    <x v="11"/>
    <x v="0"/>
    <x v="0"/>
    <s v="ROCKHAMPTON"/>
    <x v="0"/>
    <s v="2022-06-15"/>
    <x v="1"/>
    <x v="8"/>
    <n v="2"/>
    <n v="9"/>
    <n v="918"/>
    <n v="224.4"/>
  </r>
  <r>
    <x v="11"/>
    <x v="0"/>
    <x v="0"/>
    <s v="ROCKHAMPTON"/>
    <x v="0"/>
    <s v="2022-06-16"/>
    <x v="1"/>
    <x v="8"/>
    <n v="2"/>
    <n v="9"/>
    <n v="768"/>
    <n v="224.4"/>
  </r>
  <r>
    <x v="11"/>
    <x v="0"/>
    <x v="0"/>
    <s v="ROCKHAMPTON"/>
    <x v="0"/>
    <s v="2022-06-17"/>
    <x v="1"/>
    <x v="8"/>
    <n v="2"/>
    <n v="9"/>
    <n v="728"/>
    <n v="224.4"/>
  </r>
  <r>
    <x v="11"/>
    <x v="0"/>
    <x v="0"/>
    <s v="ROCKHAMPTON"/>
    <x v="0"/>
    <s v="2022-06-18"/>
    <x v="1"/>
    <x v="8"/>
    <n v="2"/>
    <n v="9"/>
    <n v="988"/>
    <n v="224.4"/>
  </r>
  <r>
    <x v="11"/>
    <x v="0"/>
    <x v="0"/>
    <s v="ROCKHAMPTON"/>
    <x v="0"/>
    <s v="2022-06-20"/>
    <x v="1"/>
    <x v="8"/>
    <n v="2"/>
    <n v="9"/>
    <n v="158"/>
    <n v="224.4"/>
  </r>
  <r>
    <x v="11"/>
    <x v="0"/>
    <x v="0"/>
    <s v="ROCKHAMPTON"/>
    <x v="0"/>
    <s v="2022-06-21"/>
    <x v="1"/>
    <x v="8"/>
    <n v="2"/>
    <n v="9"/>
    <n v="808"/>
    <n v="224.4"/>
  </r>
  <r>
    <x v="11"/>
    <x v="0"/>
    <x v="0"/>
    <s v="ROCKHAMPTON"/>
    <x v="0"/>
    <s v="2022-06-22"/>
    <x v="1"/>
    <x v="8"/>
    <n v="2"/>
    <n v="9"/>
    <n v="691"/>
    <n v="224.4"/>
  </r>
  <r>
    <x v="11"/>
    <x v="0"/>
    <x v="0"/>
    <s v="ROCKHAMPTON"/>
    <x v="0"/>
    <s v="2022-06-23"/>
    <x v="1"/>
    <x v="8"/>
    <n v="2"/>
    <n v="9"/>
    <n v="658"/>
    <n v="224.4"/>
  </r>
  <r>
    <x v="11"/>
    <x v="0"/>
    <x v="0"/>
    <s v="ROCKHAMPTON"/>
    <x v="0"/>
    <s v="2022-06-24"/>
    <x v="1"/>
    <x v="8"/>
    <n v="2"/>
    <n v="9"/>
    <n v="968"/>
    <n v="224.4"/>
  </r>
  <r>
    <x v="11"/>
    <x v="0"/>
    <x v="0"/>
    <s v="ROCKHAMPTON"/>
    <x v="0"/>
    <s v="2022-06-25"/>
    <x v="1"/>
    <x v="8"/>
    <n v="2"/>
    <n v="9"/>
    <n v="947"/>
    <n v="224.4"/>
  </r>
  <r>
    <x v="11"/>
    <x v="0"/>
    <x v="0"/>
    <s v="ROCKHAMPTON"/>
    <x v="0"/>
    <s v="2022-06-27"/>
    <x v="1"/>
    <x v="8"/>
    <n v="2"/>
    <n v="9"/>
    <n v="271"/>
    <n v="224.4"/>
  </r>
  <r>
    <x v="11"/>
    <x v="0"/>
    <x v="0"/>
    <s v="ROCKHAMPTON"/>
    <x v="0"/>
    <s v="2022-06-28"/>
    <x v="1"/>
    <x v="8"/>
    <n v="2"/>
    <n v="9"/>
    <n v="728"/>
    <n v="224.4"/>
  </r>
  <r>
    <x v="11"/>
    <x v="0"/>
    <x v="0"/>
    <s v="ROCKHAMPTON"/>
    <x v="0"/>
    <s v="2022-06-29"/>
    <x v="1"/>
    <x v="8"/>
    <n v="2"/>
    <n v="9"/>
    <n v="189"/>
    <n v="224.4"/>
  </r>
  <r>
    <x v="11"/>
    <x v="0"/>
    <x v="0"/>
    <s v="ROCKHAMPTON"/>
    <x v="0"/>
    <s v="2022-06-30"/>
    <x v="1"/>
    <x v="8"/>
    <n v="2"/>
    <n v="9"/>
    <n v="274"/>
    <n v="224.4"/>
  </r>
  <r>
    <x v="11"/>
    <x v="2"/>
    <x v="1"/>
    <s v="ROCKHAMPTON"/>
    <x v="0"/>
    <s v="2022-06-06"/>
    <x v="3"/>
    <x v="10"/>
    <n v="1"/>
    <n v="3"/>
    <n v="175"/>
    <n v="85.53"/>
  </r>
  <r>
    <x v="5"/>
    <x v="1"/>
    <x v="0"/>
    <s v="ROCKHAMPTON"/>
    <x v="1"/>
    <s v="2021-12-31"/>
    <x v="2"/>
    <x v="1"/>
    <n v="-5"/>
    <n v="0"/>
    <n v="0"/>
    <n v="-750"/>
  </r>
  <r>
    <x v="5"/>
    <x v="1"/>
    <x v="0"/>
    <s v="ROCKHAMPTON"/>
    <x v="1"/>
    <s v="2021-12-31"/>
    <x v="2"/>
    <x v="6"/>
    <n v="-1"/>
    <n v="0"/>
    <n v="0"/>
    <n v="-108.4"/>
  </r>
  <r>
    <x v="5"/>
    <x v="1"/>
    <x v="0"/>
    <s v="ROCKHAMPTON"/>
    <x v="1"/>
    <s v="2021-12-31"/>
    <x v="2"/>
    <x v="7"/>
    <n v="-1"/>
    <n v="0"/>
    <n v="0"/>
    <n v="-138.30000000000001"/>
  </r>
  <r>
    <x v="11"/>
    <x v="2"/>
    <x v="1"/>
    <s v="ROCKHAMPTON"/>
    <x v="0"/>
    <s v="2022-06-06"/>
    <x v="3"/>
    <x v="3"/>
    <n v="1"/>
    <n v="3"/>
    <n v="87"/>
    <n v="78"/>
  </r>
  <r>
    <x v="11"/>
    <x v="2"/>
    <x v="1"/>
    <s v="ROCKHAMPTON"/>
    <x v="0"/>
    <s v="2022-06-06"/>
    <x v="3"/>
    <x v="10"/>
    <n v="-1"/>
    <n v="-3"/>
    <n v="0"/>
    <n v="-85.53"/>
  </r>
  <r>
    <x v="12"/>
    <x v="0"/>
    <x v="0"/>
    <s v="ROCKHAMPTON"/>
    <x v="0"/>
    <s v="2022-07-02"/>
    <x v="1"/>
    <x v="8"/>
    <n v="2"/>
    <n v="9"/>
    <n v="733"/>
    <n v="224.4"/>
  </r>
  <r>
    <x v="12"/>
    <x v="0"/>
    <x v="0"/>
    <s v="ROCKHAMPTON"/>
    <x v="0"/>
    <s v="2022-07-09"/>
    <x v="1"/>
    <x v="8"/>
    <n v="2"/>
    <n v="9"/>
    <n v="368"/>
    <n v="224.4"/>
  </r>
  <r>
    <x v="12"/>
    <x v="0"/>
    <x v="0"/>
    <s v="ROCKHAMPTON"/>
    <x v="0"/>
    <s v="2022-07-16"/>
    <x v="1"/>
    <x v="8"/>
    <n v="2"/>
    <n v="9"/>
    <n v="858"/>
    <n v="224.4"/>
  </r>
  <r>
    <x v="12"/>
    <x v="0"/>
    <x v="0"/>
    <s v="ROCKHAMPTON"/>
    <x v="0"/>
    <s v="2022-07-23"/>
    <x v="1"/>
    <x v="8"/>
    <n v="2"/>
    <n v="9"/>
    <n v="776"/>
    <n v="224.4"/>
  </r>
  <r>
    <x v="12"/>
    <x v="0"/>
    <x v="0"/>
    <s v="ROCKHAMPTON"/>
    <x v="0"/>
    <s v="2022-07-01"/>
    <x v="1"/>
    <x v="8"/>
    <n v="2"/>
    <n v="9"/>
    <n v="358"/>
    <n v="224.4"/>
  </r>
  <r>
    <x v="12"/>
    <x v="0"/>
    <x v="0"/>
    <s v="ROCKHAMPTON"/>
    <x v="0"/>
    <s v="2022-07-04"/>
    <x v="1"/>
    <x v="8"/>
    <n v="2"/>
    <n v="9"/>
    <n v="261"/>
    <n v="224.4"/>
  </r>
  <r>
    <x v="12"/>
    <x v="0"/>
    <x v="0"/>
    <s v="ROCKHAMPTON"/>
    <x v="0"/>
    <s v="2022-07-05"/>
    <x v="1"/>
    <x v="8"/>
    <n v="2"/>
    <n v="9"/>
    <n v="850"/>
    <n v="224.4"/>
  </r>
  <r>
    <x v="12"/>
    <x v="0"/>
    <x v="0"/>
    <s v="ROCKHAMPTON"/>
    <x v="0"/>
    <s v="2022-07-06"/>
    <x v="1"/>
    <x v="8"/>
    <n v="2"/>
    <n v="9"/>
    <n v="169"/>
    <n v="224.4"/>
  </r>
  <r>
    <x v="12"/>
    <x v="0"/>
    <x v="0"/>
    <s v="ROCKHAMPTON"/>
    <x v="0"/>
    <s v="2022-07-07"/>
    <x v="1"/>
    <x v="8"/>
    <n v="2"/>
    <n v="9"/>
    <n v="150"/>
    <n v="224.4"/>
  </r>
  <r>
    <x v="12"/>
    <x v="0"/>
    <x v="0"/>
    <s v="ROCKHAMPTON"/>
    <x v="0"/>
    <s v="2022-07-08"/>
    <x v="1"/>
    <x v="8"/>
    <n v="2"/>
    <n v="9"/>
    <n v="294"/>
    <n v="224.4"/>
  </r>
  <r>
    <x v="12"/>
    <x v="0"/>
    <x v="0"/>
    <s v="ROCKHAMPTON"/>
    <x v="0"/>
    <s v="2022-07-11"/>
    <x v="1"/>
    <x v="8"/>
    <n v="2"/>
    <n v="9"/>
    <n v="280"/>
    <n v="224.4"/>
  </r>
  <r>
    <x v="12"/>
    <x v="0"/>
    <x v="0"/>
    <s v="ROCKHAMPTON"/>
    <x v="0"/>
    <s v="2022-07-12"/>
    <x v="1"/>
    <x v="8"/>
    <n v="2"/>
    <n v="9"/>
    <n v="688"/>
    <n v="224.4"/>
  </r>
  <r>
    <x v="12"/>
    <x v="0"/>
    <x v="0"/>
    <s v="ROCKHAMPTON"/>
    <x v="0"/>
    <s v="2022-07-13"/>
    <x v="1"/>
    <x v="8"/>
    <n v="2"/>
    <n v="9"/>
    <n v="828"/>
    <n v="224.4"/>
  </r>
  <r>
    <x v="12"/>
    <x v="0"/>
    <x v="0"/>
    <s v="ROCKHAMPTON"/>
    <x v="0"/>
    <s v="2022-07-14"/>
    <x v="1"/>
    <x v="8"/>
    <n v="2"/>
    <n v="9"/>
    <n v="838"/>
    <n v="224.4"/>
  </r>
  <r>
    <x v="12"/>
    <x v="0"/>
    <x v="0"/>
    <s v="ROCKHAMPTON"/>
    <x v="0"/>
    <s v="2022-07-15"/>
    <x v="1"/>
    <x v="8"/>
    <n v="2"/>
    <n v="9"/>
    <n v="598"/>
    <n v="224.4"/>
  </r>
  <r>
    <x v="12"/>
    <x v="0"/>
    <x v="0"/>
    <s v="ROCKHAMPTON"/>
    <x v="0"/>
    <s v="2022-07-18"/>
    <x v="1"/>
    <x v="8"/>
    <n v="2"/>
    <n v="9"/>
    <n v="330"/>
    <n v="224.4"/>
  </r>
  <r>
    <x v="12"/>
    <x v="0"/>
    <x v="0"/>
    <s v="ROCKHAMPTON"/>
    <x v="0"/>
    <s v="2022-07-19"/>
    <x v="1"/>
    <x v="8"/>
    <n v="2"/>
    <n v="9"/>
    <n v="928"/>
    <n v="224.4"/>
  </r>
  <r>
    <x v="12"/>
    <x v="0"/>
    <x v="0"/>
    <s v="ROCKHAMPTON"/>
    <x v="0"/>
    <s v="2022-07-20"/>
    <x v="1"/>
    <x v="8"/>
    <n v="2"/>
    <n v="9"/>
    <n v="968"/>
    <n v="224.4"/>
  </r>
  <r>
    <x v="12"/>
    <x v="0"/>
    <x v="0"/>
    <s v="ROCKHAMPTON"/>
    <x v="0"/>
    <s v="2022-07-21"/>
    <x v="1"/>
    <x v="8"/>
    <n v="2"/>
    <n v="9"/>
    <n v="825"/>
    <n v="224.4"/>
  </r>
  <r>
    <x v="12"/>
    <x v="0"/>
    <x v="0"/>
    <s v="ROCKHAMPTON"/>
    <x v="0"/>
    <s v="2022-07-22"/>
    <x v="1"/>
    <x v="8"/>
    <n v="2"/>
    <n v="9"/>
    <n v="1058"/>
    <n v="224.4"/>
  </r>
  <r>
    <x v="12"/>
    <x v="0"/>
    <x v="0"/>
    <s v="ROCKHAMPTON"/>
    <x v="0"/>
    <s v="2022-07-25"/>
    <x v="1"/>
    <x v="8"/>
    <n v="2"/>
    <n v="9"/>
    <n v="638"/>
    <n v="224.4"/>
  </r>
  <r>
    <x v="12"/>
    <x v="0"/>
    <x v="0"/>
    <s v="ROCKHAMPTON"/>
    <x v="0"/>
    <s v="2022-07-26"/>
    <x v="1"/>
    <x v="8"/>
    <n v="2"/>
    <n v="9"/>
    <n v="968"/>
    <n v="224.4"/>
  </r>
  <r>
    <x v="12"/>
    <x v="0"/>
    <x v="0"/>
    <s v="ROCKHAMPTON"/>
    <x v="0"/>
    <s v="2022-07-27"/>
    <x v="1"/>
    <x v="8"/>
    <n v="2"/>
    <n v="9"/>
    <n v="938"/>
    <n v="224.4"/>
  </r>
  <r>
    <x v="12"/>
    <x v="0"/>
    <x v="0"/>
    <s v="ROCKHAMPTON"/>
    <x v="0"/>
    <s v="2022-07-28"/>
    <x v="1"/>
    <x v="8"/>
    <n v="2"/>
    <n v="9"/>
    <n v="1078"/>
    <n v="224.4"/>
  </r>
  <r>
    <x v="12"/>
    <x v="0"/>
    <x v="0"/>
    <s v="ROCKHAMPTON"/>
    <x v="0"/>
    <s v="2022-07-29"/>
    <x v="1"/>
    <x v="8"/>
    <n v="2"/>
    <n v="9"/>
    <n v="718"/>
    <n v="224.4"/>
  </r>
  <r>
    <x v="12"/>
    <x v="0"/>
    <x v="0"/>
    <s v="ROCKHAMPTON"/>
    <x v="0"/>
    <s v="2022-07-30"/>
    <x v="1"/>
    <x v="8"/>
    <n v="2"/>
    <n v="9"/>
    <n v="840"/>
    <n v="224.4"/>
  </r>
  <r>
    <x v="12"/>
    <x v="0"/>
    <x v="0"/>
    <s v="ROCKHAMPTON"/>
    <x v="1"/>
    <s v="2022-07-02"/>
    <x v="8"/>
    <x v="11"/>
    <n v="1"/>
    <n v="0"/>
    <n v="0"/>
    <n v="15"/>
  </r>
  <r>
    <x v="12"/>
    <x v="0"/>
    <x v="0"/>
    <s v="ROCKHAMPTON"/>
    <x v="1"/>
    <s v="2022-07-09"/>
    <x v="8"/>
    <x v="11"/>
    <n v="1"/>
    <n v="0"/>
    <n v="0"/>
    <n v="15"/>
  </r>
  <r>
    <x v="12"/>
    <x v="0"/>
    <x v="0"/>
    <s v="ROCKHAMPTON"/>
    <x v="1"/>
    <s v="2022-07-16"/>
    <x v="8"/>
    <x v="11"/>
    <n v="1"/>
    <n v="0"/>
    <n v="0"/>
    <n v="15"/>
  </r>
  <r>
    <x v="12"/>
    <x v="0"/>
    <x v="0"/>
    <s v="ROCKHAMPTON"/>
    <x v="1"/>
    <s v="2022-07-23"/>
    <x v="8"/>
    <x v="11"/>
    <n v="1"/>
    <n v="0"/>
    <n v="0"/>
    <n v="15"/>
  </r>
  <r>
    <x v="12"/>
    <x v="2"/>
    <x v="1"/>
    <s v="ROCKHAMPTON"/>
    <x v="0"/>
    <s v="2022-07-21"/>
    <x v="3"/>
    <x v="10"/>
    <n v="1"/>
    <n v="3"/>
    <n v="112"/>
    <n v="85.53"/>
  </r>
  <r>
    <x v="11"/>
    <x v="0"/>
    <x v="0"/>
    <s v="ROCKHAMPTON"/>
    <x v="0"/>
    <s v="2022-06-30"/>
    <x v="1"/>
    <x v="5"/>
    <n v="101"/>
    <n v="454.5"/>
    <n v="13180.5"/>
    <n v="8484"/>
  </r>
  <r>
    <x v="11"/>
    <x v="0"/>
    <x v="0"/>
    <s v="ROCKHAMPTON"/>
    <x v="0"/>
    <s v="2022-06-30"/>
    <x v="1"/>
    <x v="8"/>
    <n v="-101"/>
    <n v="-454.5"/>
    <n v="0"/>
    <n v="-11332.2"/>
  </r>
  <r>
    <x v="12"/>
    <x v="0"/>
    <x v="0"/>
    <s v="ROCKHAMPTON"/>
    <x v="1"/>
    <s v="2022-07-23"/>
    <x v="8"/>
    <x v="11"/>
    <n v="-4"/>
    <n v="0"/>
    <n v="0"/>
    <n v="-60"/>
  </r>
  <r>
    <x v="12"/>
    <x v="2"/>
    <x v="1"/>
    <s v="ROCKHAMPTON"/>
    <x v="0"/>
    <s v="2022-07-12"/>
    <x v="3"/>
    <x v="2"/>
    <n v="-3"/>
    <n v="-9"/>
    <n v="0"/>
    <n v="-348.63"/>
  </r>
  <r>
    <x v="12"/>
    <x v="2"/>
    <x v="1"/>
    <s v="ROCKHAMPTON"/>
    <x v="0"/>
    <s v="2022-07-12"/>
    <x v="3"/>
    <x v="3"/>
    <n v="3"/>
    <n v="9"/>
    <n v="261"/>
    <n v="234"/>
  </r>
  <r>
    <x v="13"/>
    <x v="0"/>
    <x v="0"/>
    <s v="ROCKHAMPTON"/>
    <x v="0"/>
    <s v="2022-08-01"/>
    <x v="1"/>
    <x v="8"/>
    <n v="2"/>
    <n v="9"/>
    <n v="238"/>
    <n v="224.4"/>
  </r>
  <r>
    <x v="13"/>
    <x v="0"/>
    <x v="0"/>
    <s v="ROCKHAMPTON"/>
    <x v="0"/>
    <s v="2022-08-02"/>
    <x v="1"/>
    <x v="8"/>
    <n v="2"/>
    <n v="9"/>
    <n v="835"/>
    <n v="224.4"/>
  </r>
  <r>
    <x v="13"/>
    <x v="0"/>
    <x v="0"/>
    <s v="ROCKHAMPTON"/>
    <x v="0"/>
    <s v="2022-08-03"/>
    <x v="1"/>
    <x v="8"/>
    <n v="2"/>
    <n v="9"/>
    <n v="938"/>
    <n v="224.4"/>
  </r>
  <r>
    <x v="13"/>
    <x v="0"/>
    <x v="0"/>
    <s v="ROCKHAMPTON"/>
    <x v="0"/>
    <s v="2022-08-04"/>
    <x v="1"/>
    <x v="8"/>
    <n v="2"/>
    <n v="9"/>
    <n v="828"/>
    <n v="224.4"/>
  </r>
  <r>
    <x v="13"/>
    <x v="0"/>
    <x v="0"/>
    <s v="ROCKHAMPTON"/>
    <x v="0"/>
    <s v="2022-08-05"/>
    <x v="1"/>
    <x v="8"/>
    <n v="2"/>
    <n v="9"/>
    <n v="838"/>
    <n v="224.4"/>
  </r>
  <r>
    <x v="13"/>
    <x v="0"/>
    <x v="0"/>
    <s v="ROCKHAMPTON"/>
    <x v="0"/>
    <s v="2022-08-06"/>
    <x v="1"/>
    <x v="8"/>
    <n v="2"/>
    <n v="9"/>
    <n v="1048"/>
    <n v="224.4"/>
  </r>
  <r>
    <x v="13"/>
    <x v="0"/>
    <x v="0"/>
    <s v="ROCKHAMPTON"/>
    <x v="0"/>
    <s v="2022-08-08"/>
    <x v="1"/>
    <x v="8"/>
    <n v="2"/>
    <n v="9"/>
    <n v="528"/>
    <n v="224.4"/>
  </r>
  <r>
    <x v="13"/>
    <x v="0"/>
    <x v="0"/>
    <s v="ROCKHAMPTON"/>
    <x v="0"/>
    <s v="2022-08-09"/>
    <x v="1"/>
    <x v="8"/>
    <n v="2"/>
    <n v="9"/>
    <n v="808"/>
    <n v="224.4"/>
  </r>
  <r>
    <x v="13"/>
    <x v="0"/>
    <x v="0"/>
    <s v="ROCKHAMPTON"/>
    <x v="0"/>
    <s v="2022-08-10"/>
    <x v="1"/>
    <x v="8"/>
    <n v="2"/>
    <n v="9"/>
    <n v="595"/>
    <n v="224.4"/>
  </r>
  <r>
    <x v="13"/>
    <x v="0"/>
    <x v="0"/>
    <s v="ROCKHAMPTON"/>
    <x v="0"/>
    <s v="2022-08-11"/>
    <x v="1"/>
    <x v="8"/>
    <n v="2"/>
    <n v="9"/>
    <n v="958"/>
    <n v="224.4"/>
  </r>
  <r>
    <x v="13"/>
    <x v="0"/>
    <x v="0"/>
    <s v="ROCKHAMPTON"/>
    <x v="0"/>
    <s v="2022-08-12"/>
    <x v="1"/>
    <x v="8"/>
    <n v="2"/>
    <n v="9"/>
    <n v="828"/>
    <n v="224.4"/>
  </r>
  <r>
    <x v="13"/>
    <x v="0"/>
    <x v="0"/>
    <s v="ROCKHAMPTON"/>
    <x v="0"/>
    <s v="2022-08-13"/>
    <x v="1"/>
    <x v="8"/>
    <n v="2"/>
    <n v="9"/>
    <n v="838"/>
    <n v="224.4"/>
  </r>
  <r>
    <x v="13"/>
    <x v="0"/>
    <x v="0"/>
    <s v="ROCKHAMPTON"/>
    <x v="0"/>
    <s v="2022-08-15"/>
    <x v="1"/>
    <x v="8"/>
    <n v="2"/>
    <n v="9"/>
    <n v="267"/>
    <n v="224.4"/>
  </r>
  <r>
    <x v="13"/>
    <x v="0"/>
    <x v="0"/>
    <s v="ROCKHAMPTON"/>
    <x v="0"/>
    <s v="2022-08-16"/>
    <x v="1"/>
    <x v="8"/>
    <n v="2"/>
    <n v="9"/>
    <n v="1278"/>
    <n v="224.4"/>
  </r>
  <r>
    <x v="13"/>
    <x v="0"/>
    <x v="0"/>
    <s v="ROCKHAMPTON"/>
    <x v="0"/>
    <s v="2022-08-17"/>
    <x v="1"/>
    <x v="8"/>
    <n v="2"/>
    <n v="9"/>
    <n v="694"/>
    <n v="224.4"/>
  </r>
  <r>
    <x v="13"/>
    <x v="0"/>
    <x v="0"/>
    <s v="ROCKHAMPTON"/>
    <x v="0"/>
    <s v="2022-08-18"/>
    <x v="1"/>
    <x v="8"/>
    <n v="2"/>
    <n v="9"/>
    <n v="688"/>
    <n v="224.4"/>
  </r>
  <r>
    <x v="13"/>
    <x v="0"/>
    <x v="0"/>
    <s v="ROCKHAMPTON"/>
    <x v="0"/>
    <s v="2022-08-19"/>
    <x v="1"/>
    <x v="8"/>
    <n v="2"/>
    <n v="9"/>
    <n v="818"/>
    <n v="224.4"/>
  </r>
  <r>
    <x v="13"/>
    <x v="0"/>
    <x v="0"/>
    <s v="ROCKHAMPTON"/>
    <x v="0"/>
    <s v="2022-08-20"/>
    <x v="1"/>
    <x v="8"/>
    <n v="2"/>
    <n v="9"/>
    <n v="817"/>
    <n v="224.4"/>
  </r>
  <r>
    <x v="13"/>
    <x v="0"/>
    <x v="0"/>
    <s v="ROCKHAMPTON"/>
    <x v="0"/>
    <s v="2022-08-22"/>
    <x v="1"/>
    <x v="8"/>
    <n v="2"/>
    <n v="9"/>
    <n v="110"/>
    <n v="224.4"/>
  </r>
  <r>
    <x v="13"/>
    <x v="0"/>
    <x v="0"/>
    <s v="ROCKHAMPTON"/>
    <x v="0"/>
    <s v="2022-08-23"/>
    <x v="1"/>
    <x v="8"/>
    <n v="2"/>
    <n v="9"/>
    <n v="1078"/>
    <n v="224.4"/>
  </r>
  <r>
    <x v="13"/>
    <x v="0"/>
    <x v="0"/>
    <s v="ROCKHAMPTON"/>
    <x v="0"/>
    <s v="2022-08-24"/>
    <x v="1"/>
    <x v="8"/>
    <n v="2"/>
    <n v="9"/>
    <n v="868"/>
    <n v="224.4"/>
  </r>
  <r>
    <x v="13"/>
    <x v="0"/>
    <x v="0"/>
    <s v="ROCKHAMPTON"/>
    <x v="0"/>
    <s v="2022-08-25"/>
    <x v="1"/>
    <x v="8"/>
    <n v="2"/>
    <n v="9"/>
    <n v="841"/>
    <n v="224.4"/>
  </r>
  <r>
    <x v="13"/>
    <x v="0"/>
    <x v="0"/>
    <s v="ROCKHAMPTON"/>
    <x v="0"/>
    <s v="2022-08-26"/>
    <x v="1"/>
    <x v="8"/>
    <n v="2"/>
    <n v="9"/>
    <n v="567"/>
    <n v="224.4"/>
  </r>
  <r>
    <x v="13"/>
    <x v="0"/>
    <x v="0"/>
    <s v="ROCKHAMPTON"/>
    <x v="0"/>
    <s v="2022-08-27"/>
    <x v="1"/>
    <x v="8"/>
    <n v="2"/>
    <n v="9"/>
    <n v="888"/>
    <n v="224.4"/>
  </r>
  <r>
    <x v="13"/>
    <x v="0"/>
    <x v="0"/>
    <s v="ROCKHAMPTON"/>
    <x v="0"/>
    <s v="2022-08-29"/>
    <x v="1"/>
    <x v="8"/>
    <n v="2"/>
    <n v="9"/>
    <n v="362"/>
    <n v="224.4"/>
  </r>
  <r>
    <x v="13"/>
    <x v="0"/>
    <x v="0"/>
    <s v="ROCKHAMPTON"/>
    <x v="0"/>
    <s v="2022-08-30"/>
    <x v="1"/>
    <x v="8"/>
    <n v="2"/>
    <n v="9"/>
    <n v="778"/>
    <n v="224.4"/>
  </r>
  <r>
    <x v="13"/>
    <x v="0"/>
    <x v="0"/>
    <s v="ROCKHAMPTON"/>
    <x v="0"/>
    <s v="2022-08-31"/>
    <x v="1"/>
    <x v="8"/>
    <n v="2"/>
    <n v="9"/>
    <n v="798"/>
    <n v="224.4"/>
  </r>
  <r>
    <x v="14"/>
    <x v="0"/>
    <x v="0"/>
    <s v="ROCKHAMPTON"/>
    <x v="0"/>
    <s v="2022-09-01"/>
    <x v="1"/>
    <x v="8"/>
    <n v="2"/>
    <n v="9"/>
    <n v="913"/>
    <n v="224.4"/>
  </r>
  <r>
    <x v="14"/>
    <x v="0"/>
    <x v="0"/>
    <s v="ROCKHAMPTON"/>
    <x v="0"/>
    <s v="2022-09-02"/>
    <x v="1"/>
    <x v="8"/>
    <n v="2"/>
    <n v="9"/>
    <n v="678"/>
    <n v="224.4"/>
  </r>
  <r>
    <x v="14"/>
    <x v="0"/>
    <x v="0"/>
    <s v="ROCKHAMPTON"/>
    <x v="0"/>
    <s v="2022-09-03"/>
    <x v="1"/>
    <x v="8"/>
    <n v="2"/>
    <n v="9"/>
    <n v="848"/>
    <n v="224.4"/>
  </r>
  <r>
    <x v="14"/>
    <x v="0"/>
    <x v="0"/>
    <s v="ROCKHAMPTON"/>
    <x v="0"/>
    <s v="2022-09-05"/>
    <x v="1"/>
    <x v="8"/>
    <n v="2"/>
    <n v="9"/>
    <n v="60"/>
    <n v="224.4"/>
  </r>
  <r>
    <x v="14"/>
    <x v="0"/>
    <x v="0"/>
    <s v="ROCKHAMPTON"/>
    <x v="0"/>
    <s v="2022-09-06"/>
    <x v="1"/>
    <x v="8"/>
    <n v="2"/>
    <n v="9"/>
    <n v="1038"/>
    <n v="224.4"/>
  </r>
  <r>
    <x v="14"/>
    <x v="0"/>
    <x v="0"/>
    <s v="ROCKHAMPTON"/>
    <x v="0"/>
    <s v="2022-09-07"/>
    <x v="1"/>
    <x v="8"/>
    <n v="2"/>
    <n v="9"/>
    <n v="838"/>
    <n v="224.4"/>
  </r>
  <r>
    <x v="14"/>
    <x v="0"/>
    <x v="0"/>
    <s v="ROCKHAMPTON"/>
    <x v="0"/>
    <s v="2022-09-08"/>
    <x v="1"/>
    <x v="8"/>
    <n v="2"/>
    <n v="9"/>
    <n v="808"/>
    <n v="224.4"/>
  </r>
  <r>
    <x v="14"/>
    <x v="0"/>
    <x v="0"/>
    <s v="ROCKHAMPTON"/>
    <x v="0"/>
    <s v="2022-09-09"/>
    <x v="1"/>
    <x v="8"/>
    <n v="2"/>
    <n v="9"/>
    <n v="455"/>
    <n v="224.4"/>
  </r>
  <r>
    <x v="14"/>
    <x v="0"/>
    <x v="0"/>
    <s v="ROCKHAMPTON"/>
    <x v="0"/>
    <s v="2022-09-10"/>
    <x v="1"/>
    <x v="8"/>
    <n v="2"/>
    <n v="9"/>
    <n v="261"/>
    <n v="224.4"/>
  </r>
  <r>
    <x v="14"/>
    <x v="0"/>
    <x v="0"/>
    <s v="ROCKHAMPTON"/>
    <x v="0"/>
    <s v="2022-09-12"/>
    <x v="1"/>
    <x v="8"/>
    <n v="2"/>
    <n v="9"/>
    <n v="284"/>
    <n v="224.4"/>
  </r>
  <r>
    <x v="14"/>
    <x v="0"/>
    <x v="0"/>
    <s v="ROCKHAMPTON"/>
    <x v="0"/>
    <s v="2022-09-13"/>
    <x v="1"/>
    <x v="8"/>
    <n v="2"/>
    <n v="9"/>
    <n v="1098"/>
    <n v="224.4"/>
  </r>
  <r>
    <x v="14"/>
    <x v="0"/>
    <x v="0"/>
    <s v="ROCKHAMPTON"/>
    <x v="0"/>
    <s v="2022-09-14"/>
    <x v="1"/>
    <x v="8"/>
    <n v="2"/>
    <n v="9"/>
    <n v="362"/>
    <n v="224.4"/>
  </r>
  <r>
    <x v="14"/>
    <x v="0"/>
    <x v="0"/>
    <s v="ROCKHAMPTON"/>
    <x v="0"/>
    <s v="2022-09-15"/>
    <x v="1"/>
    <x v="8"/>
    <n v="2"/>
    <n v="9"/>
    <n v="688"/>
    <n v="224.4"/>
  </r>
  <r>
    <x v="14"/>
    <x v="0"/>
    <x v="0"/>
    <s v="ROCKHAMPTON"/>
    <x v="0"/>
    <s v="2022-09-16"/>
    <x v="1"/>
    <x v="8"/>
    <n v="2"/>
    <n v="9"/>
    <n v="376"/>
    <n v="224.4"/>
  </r>
  <r>
    <x v="14"/>
    <x v="0"/>
    <x v="0"/>
    <s v="ROCKHAMPTON"/>
    <x v="0"/>
    <s v="2022-09-19"/>
    <x v="1"/>
    <x v="8"/>
    <n v="2"/>
    <n v="9"/>
    <n v="738"/>
    <n v="224.4"/>
  </r>
  <r>
    <x v="14"/>
    <x v="0"/>
    <x v="0"/>
    <s v="ROCKHAMPTON"/>
    <x v="0"/>
    <s v="2022-09-20"/>
    <x v="1"/>
    <x v="8"/>
    <n v="2"/>
    <n v="9"/>
    <n v="449"/>
    <n v="224.4"/>
  </r>
  <r>
    <x v="14"/>
    <x v="0"/>
    <x v="0"/>
    <s v="ROCKHAMPTON"/>
    <x v="0"/>
    <s v="2022-09-21"/>
    <x v="1"/>
    <x v="8"/>
    <n v="2"/>
    <n v="9"/>
    <n v="330"/>
    <n v="224.4"/>
  </r>
  <r>
    <x v="14"/>
    <x v="0"/>
    <x v="0"/>
    <s v="ROCKHAMPTON"/>
    <x v="0"/>
    <s v="2022-09-22"/>
    <x v="1"/>
    <x v="8"/>
    <n v="2"/>
    <n v="9"/>
    <n v="366"/>
    <n v="224.4"/>
  </r>
  <r>
    <x v="14"/>
    <x v="0"/>
    <x v="0"/>
    <s v="ROCKHAMPTON"/>
    <x v="0"/>
    <s v="2022-09-23"/>
    <x v="1"/>
    <x v="8"/>
    <n v="2"/>
    <n v="9"/>
    <n v="289"/>
    <n v="224.4"/>
  </r>
  <r>
    <x v="14"/>
    <x v="0"/>
    <x v="0"/>
    <s v="ROCKHAMPTON"/>
    <x v="0"/>
    <s v="2022-09-24"/>
    <x v="1"/>
    <x v="8"/>
    <n v="2"/>
    <n v="9"/>
    <n v="262"/>
    <n v="224.4"/>
  </r>
  <r>
    <x v="14"/>
    <x v="0"/>
    <x v="0"/>
    <s v="ROCKHAMPTON"/>
    <x v="0"/>
    <s v="2022-09-27"/>
    <x v="1"/>
    <x v="8"/>
    <n v="2"/>
    <n v="9"/>
    <n v="328"/>
    <n v="224.4"/>
  </r>
  <r>
    <x v="14"/>
    <x v="0"/>
    <x v="0"/>
    <s v="ROCKHAMPTON"/>
    <x v="0"/>
    <s v="2022-09-28"/>
    <x v="1"/>
    <x v="8"/>
    <n v="2"/>
    <n v="9"/>
    <n v="386"/>
    <n v="224.4"/>
  </r>
  <r>
    <x v="14"/>
    <x v="0"/>
    <x v="0"/>
    <s v="ROCKHAMPTON"/>
    <x v="0"/>
    <s v="2022-09-29"/>
    <x v="1"/>
    <x v="8"/>
    <n v="2"/>
    <n v="9"/>
    <n v="100"/>
    <n v="224.4"/>
  </r>
  <r>
    <x v="14"/>
    <x v="0"/>
    <x v="0"/>
    <s v="ROCKHAMPTON"/>
    <x v="0"/>
    <s v="2022-09-30"/>
    <x v="1"/>
    <x v="8"/>
    <n v="2"/>
    <n v="9"/>
    <n v="228"/>
    <n v="224.4"/>
  </r>
  <r>
    <x v="14"/>
    <x v="2"/>
    <x v="1"/>
    <s v="ROCKHAMPTON"/>
    <x v="0"/>
    <s v="2022-09-15"/>
    <x v="3"/>
    <x v="10"/>
    <n v="1"/>
    <n v="3"/>
    <n v="299"/>
    <n v="85.53"/>
  </r>
  <r>
    <x v="15"/>
    <x v="0"/>
    <x v="0"/>
    <s v="ROCKHAMPTON"/>
    <x v="0"/>
    <s v="2022-10-01"/>
    <x v="1"/>
    <x v="12"/>
    <n v="2"/>
    <n v="9"/>
    <n v="220"/>
    <n v="250.04"/>
  </r>
  <r>
    <x v="15"/>
    <x v="0"/>
    <x v="0"/>
    <s v="ROCKHAMPTON"/>
    <x v="0"/>
    <s v="2022-10-03"/>
    <x v="1"/>
    <x v="12"/>
    <n v="2"/>
    <n v="9"/>
    <n v="265"/>
    <n v="250.04"/>
  </r>
  <r>
    <x v="15"/>
    <x v="0"/>
    <x v="0"/>
    <s v="ROCKHAMPTON"/>
    <x v="0"/>
    <s v="2022-10-04"/>
    <x v="1"/>
    <x v="12"/>
    <n v="2"/>
    <n v="9"/>
    <n v="261"/>
    <n v="250.04"/>
  </r>
  <r>
    <x v="15"/>
    <x v="0"/>
    <x v="0"/>
    <s v="ROCKHAMPTON"/>
    <x v="0"/>
    <s v="2022-10-05"/>
    <x v="1"/>
    <x v="12"/>
    <n v="2"/>
    <n v="9"/>
    <n v="732"/>
    <n v="250.04"/>
  </r>
  <r>
    <x v="15"/>
    <x v="0"/>
    <x v="0"/>
    <s v="ROCKHAMPTON"/>
    <x v="0"/>
    <s v="2022-10-06"/>
    <x v="1"/>
    <x v="12"/>
    <n v="2"/>
    <n v="9"/>
    <n v="948"/>
    <n v="250.04"/>
  </r>
  <r>
    <x v="15"/>
    <x v="0"/>
    <x v="0"/>
    <s v="ROCKHAMPTON"/>
    <x v="0"/>
    <s v="2022-10-07"/>
    <x v="1"/>
    <x v="12"/>
    <n v="2"/>
    <n v="9"/>
    <n v="766"/>
    <n v="250.04"/>
  </r>
  <r>
    <x v="15"/>
    <x v="0"/>
    <x v="0"/>
    <s v="ROCKHAMPTON"/>
    <x v="0"/>
    <s v="2022-10-08"/>
    <x v="1"/>
    <x v="12"/>
    <n v="2"/>
    <n v="9"/>
    <n v="878"/>
    <n v="250.04"/>
  </r>
  <r>
    <x v="15"/>
    <x v="0"/>
    <x v="0"/>
    <s v="ROCKHAMPTON"/>
    <x v="0"/>
    <s v="2022-10-10"/>
    <x v="1"/>
    <x v="12"/>
    <n v="2"/>
    <n v="9"/>
    <n v="274"/>
    <n v="250.04"/>
  </r>
  <r>
    <x v="15"/>
    <x v="0"/>
    <x v="0"/>
    <s v="ROCKHAMPTON"/>
    <x v="0"/>
    <s v="2022-10-11"/>
    <x v="1"/>
    <x v="12"/>
    <n v="2"/>
    <n v="9"/>
    <n v="858"/>
    <n v="250.04"/>
  </r>
  <r>
    <x v="15"/>
    <x v="0"/>
    <x v="0"/>
    <s v="ROCKHAMPTON"/>
    <x v="0"/>
    <s v="2022-10-12"/>
    <x v="1"/>
    <x v="12"/>
    <n v="2"/>
    <n v="9"/>
    <n v="772"/>
    <n v="250.04"/>
  </r>
  <r>
    <x v="15"/>
    <x v="0"/>
    <x v="0"/>
    <s v="ROCKHAMPTON"/>
    <x v="0"/>
    <s v="2022-10-13"/>
    <x v="1"/>
    <x v="12"/>
    <n v="2"/>
    <n v="9"/>
    <n v="690"/>
    <n v="250.04"/>
  </r>
  <r>
    <x v="15"/>
    <x v="0"/>
    <x v="0"/>
    <s v="ROCKHAMPTON"/>
    <x v="0"/>
    <s v="2022-10-14"/>
    <x v="1"/>
    <x v="12"/>
    <n v="2"/>
    <n v="9"/>
    <n v="650"/>
    <n v="250.04"/>
  </r>
  <r>
    <x v="15"/>
    <x v="0"/>
    <x v="0"/>
    <s v="ROCKHAMPTON"/>
    <x v="0"/>
    <s v="2022-10-15"/>
    <x v="1"/>
    <x v="12"/>
    <n v="2"/>
    <n v="9"/>
    <n v="958"/>
    <n v="250.04"/>
  </r>
  <r>
    <x v="15"/>
    <x v="0"/>
    <x v="0"/>
    <s v="ROCKHAMPTON"/>
    <x v="0"/>
    <s v="2022-10-17"/>
    <x v="1"/>
    <x v="12"/>
    <n v="2"/>
    <n v="9"/>
    <n v="535"/>
    <n v="250.04"/>
  </r>
  <r>
    <x v="15"/>
    <x v="0"/>
    <x v="0"/>
    <s v="ROCKHAMPTON"/>
    <x v="0"/>
    <s v="2022-10-18"/>
    <x v="1"/>
    <x v="12"/>
    <n v="2"/>
    <n v="9"/>
    <n v="808"/>
    <n v="250.04"/>
  </r>
  <r>
    <x v="15"/>
    <x v="0"/>
    <x v="0"/>
    <s v="ROCKHAMPTON"/>
    <x v="0"/>
    <s v="2022-10-19"/>
    <x v="1"/>
    <x v="12"/>
    <n v="2"/>
    <n v="9"/>
    <n v="1020"/>
    <n v="250.04"/>
  </r>
  <r>
    <x v="15"/>
    <x v="0"/>
    <x v="0"/>
    <s v="ROCKHAMPTON"/>
    <x v="0"/>
    <s v="2022-10-20"/>
    <x v="1"/>
    <x v="12"/>
    <n v="2"/>
    <n v="9"/>
    <n v="960"/>
    <n v="250.04"/>
  </r>
  <r>
    <x v="15"/>
    <x v="0"/>
    <x v="0"/>
    <s v="ROCKHAMPTON"/>
    <x v="0"/>
    <s v="2022-10-21"/>
    <x v="1"/>
    <x v="12"/>
    <n v="2"/>
    <n v="9"/>
    <n v="551"/>
    <n v="250.04"/>
  </r>
  <r>
    <x v="15"/>
    <x v="0"/>
    <x v="0"/>
    <s v="ROCKHAMPTON"/>
    <x v="0"/>
    <s v="2022-10-22"/>
    <x v="1"/>
    <x v="12"/>
    <n v="0"/>
    <n v="0"/>
    <n v="0"/>
    <n v="0"/>
  </r>
  <r>
    <x v="15"/>
    <x v="0"/>
    <x v="0"/>
    <s v="ROCKHAMPTON"/>
    <x v="0"/>
    <s v="2022-10-24"/>
    <x v="1"/>
    <x v="12"/>
    <n v="2"/>
    <n v="9"/>
    <n v="1027"/>
    <n v="250.04"/>
  </r>
  <r>
    <x v="15"/>
    <x v="0"/>
    <x v="0"/>
    <s v="ROCKHAMPTON"/>
    <x v="0"/>
    <s v="2022-10-25"/>
    <x v="1"/>
    <x v="12"/>
    <n v="2"/>
    <n v="9"/>
    <n v="1098"/>
    <n v="250.04"/>
  </r>
  <r>
    <x v="15"/>
    <x v="0"/>
    <x v="0"/>
    <s v="ROCKHAMPTON"/>
    <x v="0"/>
    <s v="2022-10-26"/>
    <x v="1"/>
    <x v="12"/>
    <n v="2"/>
    <n v="9"/>
    <n v="527"/>
    <n v="250.04"/>
  </r>
  <r>
    <x v="15"/>
    <x v="0"/>
    <x v="0"/>
    <s v="ROCKHAMPTON"/>
    <x v="0"/>
    <s v="2022-10-27"/>
    <x v="1"/>
    <x v="12"/>
    <n v="2"/>
    <n v="9"/>
    <n v="833"/>
    <n v="250.04"/>
  </r>
  <r>
    <x v="15"/>
    <x v="0"/>
    <x v="0"/>
    <s v="ROCKHAMPTON"/>
    <x v="0"/>
    <s v="2022-10-28"/>
    <x v="1"/>
    <x v="12"/>
    <n v="2"/>
    <n v="9"/>
    <n v="1088"/>
    <n v="250.04"/>
  </r>
  <r>
    <x v="15"/>
    <x v="0"/>
    <x v="0"/>
    <s v="ROCKHAMPTON"/>
    <x v="0"/>
    <s v="2022-10-29"/>
    <x v="1"/>
    <x v="12"/>
    <n v="2"/>
    <n v="9"/>
    <n v="888"/>
    <n v="250.04"/>
  </r>
  <r>
    <x v="15"/>
    <x v="0"/>
    <x v="0"/>
    <s v="ROCKHAMPTON"/>
    <x v="0"/>
    <s v="2022-10-31"/>
    <x v="1"/>
    <x v="12"/>
    <n v="2"/>
    <n v="9"/>
    <n v="258"/>
    <n v="250.04"/>
  </r>
  <r>
    <x v="16"/>
    <x v="0"/>
    <x v="0"/>
    <s v="ROCKHAMPTON"/>
    <x v="0"/>
    <s v="2022-11-01"/>
    <x v="1"/>
    <x v="12"/>
    <n v="2"/>
    <n v="9"/>
    <n v="1018"/>
    <n v="250.04"/>
  </r>
  <r>
    <x v="16"/>
    <x v="0"/>
    <x v="0"/>
    <s v="ROCKHAMPTON"/>
    <x v="0"/>
    <s v="2022-11-02"/>
    <x v="1"/>
    <x v="12"/>
    <n v="2"/>
    <n v="9"/>
    <n v="1148"/>
    <n v="250.04"/>
  </r>
  <r>
    <x v="16"/>
    <x v="0"/>
    <x v="0"/>
    <s v="ROCKHAMPTON"/>
    <x v="0"/>
    <s v="2022-11-03"/>
    <x v="1"/>
    <x v="12"/>
    <n v="2"/>
    <n v="9"/>
    <n v="1095"/>
    <n v="250.04"/>
  </r>
  <r>
    <x v="16"/>
    <x v="0"/>
    <x v="0"/>
    <s v="ROCKHAMPTON"/>
    <x v="0"/>
    <s v="2022-11-04"/>
    <x v="1"/>
    <x v="12"/>
    <n v="2"/>
    <n v="9"/>
    <n v="1028"/>
    <n v="250.04"/>
  </r>
  <r>
    <x v="16"/>
    <x v="0"/>
    <x v="0"/>
    <s v="ROCKHAMPTON"/>
    <x v="0"/>
    <s v="2022-11-07"/>
    <x v="1"/>
    <x v="12"/>
    <n v="2"/>
    <n v="9"/>
    <n v="817"/>
    <n v="250.04"/>
  </r>
  <r>
    <x v="16"/>
    <x v="0"/>
    <x v="0"/>
    <s v="ROCKHAMPTON"/>
    <x v="0"/>
    <s v="2022-11-08"/>
    <x v="1"/>
    <x v="12"/>
    <n v="2"/>
    <n v="9"/>
    <n v="1178"/>
    <n v="250.04"/>
  </r>
  <r>
    <x v="16"/>
    <x v="0"/>
    <x v="0"/>
    <s v="ROCKHAMPTON"/>
    <x v="0"/>
    <s v="2022-11-09"/>
    <x v="1"/>
    <x v="12"/>
    <n v="2"/>
    <n v="9"/>
    <n v="818"/>
    <n v="250.04"/>
  </r>
  <r>
    <x v="16"/>
    <x v="0"/>
    <x v="0"/>
    <s v="ROCKHAMPTON"/>
    <x v="0"/>
    <s v="2022-11-10"/>
    <x v="1"/>
    <x v="12"/>
    <n v="2"/>
    <n v="9"/>
    <n v="851"/>
    <n v="250.04"/>
  </r>
  <r>
    <x v="16"/>
    <x v="0"/>
    <x v="0"/>
    <s v="ROCKHAMPTON"/>
    <x v="0"/>
    <s v="2022-11-11"/>
    <x v="1"/>
    <x v="12"/>
    <n v="2"/>
    <n v="9"/>
    <n v="878"/>
    <n v="250.04"/>
  </r>
  <r>
    <x v="16"/>
    <x v="0"/>
    <x v="0"/>
    <s v="ROCKHAMPTON"/>
    <x v="0"/>
    <s v="2022-11-12"/>
    <x v="1"/>
    <x v="12"/>
    <n v="2"/>
    <n v="9"/>
    <n v="918"/>
    <n v="250.04"/>
  </r>
  <r>
    <x v="16"/>
    <x v="0"/>
    <x v="0"/>
    <s v="ROCKHAMPTON"/>
    <x v="0"/>
    <s v="2022-11-14"/>
    <x v="1"/>
    <x v="12"/>
    <n v="2"/>
    <n v="9"/>
    <n v="388"/>
    <n v="250.04"/>
  </r>
  <r>
    <x v="16"/>
    <x v="0"/>
    <x v="0"/>
    <s v="ROCKHAMPTON"/>
    <x v="0"/>
    <s v="2022-11-15"/>
    <x v="1"/>
    <x v="12"/>
    <n v="2"/>
    <n v="9"/>
    <n v="1078"/>
    <n v="250.04"/>
  </r>
  <r>
    <x v="16"/>
    <x v="0"/>
    <x v="0"/>
    <s v="ROCKHAMPTON"/>
    <x v="0"/>
    <s v="2022-11-16"/>
    <x v="1"/>
    <x v="12"/>
    <n v="2"/>
    <n v="9"/>
    <n v="658"/>
    <n v="250.04"/>
  </r>
  <r>
    <x v="16"/>
    <x v="0"/>
    <x v="0"/>
    <s v="ROCKHAMPTON"/>
    <x v="0"/>
    <s v="2022-11-17"/>
    <x v="1"/>
    <x v="12"/>
    <n v="2"/>
    <n v="9"/>
    <n v="468"/>
    <n v="250.04"/>
  </r>
  <r>
    <x v="16"/>
    <x v="0"/>
    <x v="0"/>
    <s v="ROCKHAMPTON"/>
    <x v="0"/>
    <s v="2022-11-18"/>
    <x v="1"/>
    <x v="12"/>
    <n v="2"/>
    <n v="9"/>
    <n v="818"/>
    <n v="250.04"/>
  </r>
  <r>
    <x v="16"/>
    <x v="0"/>
    <x v="0"/>
    <s v="ROCKHAMPTON"/>
    <x v="0"/>
    <s v="2022-11-19"/>
    <x v="1"/>
    <x v="12"/>
    <n v="2"/>
    <n v="9"/>
    <n v="989"/>
    <n v="250.04"/>
  </r>
  <r>
    <x v="16"/>
    <x v="0"/>
    <x v="0"/>
    <s v="ROCKHAMPTON"/>
    <x v="0"/>
    <s v="2022-11-21"/>
    <x v="1"/>
    <x v="12"/>
    <n v="2"/>
    <n v="9"/>
    <n v="222"/>
    <n v="250.04"/>
  </r>
  <r>
    <x v="16"/>
    <x v="0"/>
    <x v="0"/>
    <s v="ROCKHAMPTON"/>
    <x v="0"/>
    <s v="2022-11-22"/>
    <x v="1"/>
    <x v="12"/>
    <n v="2"/>
    <n v="9"/>
    <n v="1112"/>
    <n v="250.04"/>
  </r>
  <r>
    <x v="16"/>
    <x v="0"/>
    <x v="0"/>
    <s v="ROCKHAMPTON"/>
    <x v="0"/>
    <s v="2022-11-23"/>
    <x v="1"/>
    <x v="12"/>
    <n v="2"/>
    <n v="9"/>
    <n v="998"/>
    <n v="250.04"/>
  </r>
  <r>
    <x v="16"/>
    <x v="0"/>
    <x v="0"/>
    <s v="ROCKHAMPTON"/>
    <x v="0"/>
    <s v="2022-11-24"/>
    <x v="1"/>
    <x v="12"/>
    <n v="2"/>
    <n v="9"/>
    <n v="1088"/>
    <n v="250.04"/>
  </r>
  <r>
    <x v="16"/>
    <x v="0"/>
    <x v="0"/>
    <s v="ROCKHAMPTON"/>
    <x v="0"/>
    <s v="2022-11-25"/>
    <x v="1"/>
    <x v="12"/>
    <n v="2"/>
    <n v="9"/>
    <n v="1058"/>
    <n v="250.04"/>
  </r>
  <r>
    <x v="16"/>
    <x v="0"/>
    <x v="0"/>
    <s v="ROCKHAMPTON"/>
    <x v="0"/>
    <s v="2022-11-26"/>
    <x v="1"/>
    <x v="12"/>
    <n v="2"/>
    <n v="9"/>
    <n v="958"/>
    <n v="250.04"/>
  </r>
  <r>
    <x v="16"/>
    <x v="0"/>
    <x v="0"/>
    <s v="ROCKHAMPTON"/>
    <x v="0"/>
    <s v="2022-11-28"/>
    <x v="1"/>
    <x v="12"/>
    <n v="2"/>
    <n v="9"/>
    <n v="928"/>
    <n v="250.04"/>
  </r>
  <r>
    <x v="16"/>
    <x v="0"/>
    <x v="0"/>
    <s v="ROCKHAMPTON"/>
    <x v="0"/>
    <s v="2022-11-29"/>
    <x v="1"/>
    <x v="12"/>
    <n v="2"/>
    <n v="9"/>
    <n v="978"/>
    <n v="250.04"/>
  </r>
  <r>
    <x v="16"/>
    <x v="0"/>
    <x v="0"/>
    <s v="ROCKHAMPTON"/>
    <x v="0"/>
    <s v="2022-11-30"/>
    <x v="1"/>
    <x v="12"/>
    <n v="2"/>
    <n v="9"/>
    <n v="998"/>
    <n v="250.04"/>
  </r>
  <r>
    <x v="17"/>
    <x v="0"/>
    <x v="0"/>
    <s v="ROCKHAMPTON"/>
    <x v="0"/>
    <s v="2022-12-01"/>
    <x v="1"/>
    <x v="12"/>
    <n v="2"/>
    <n v="9"/>
    <n v="718"/>
    <n v="250.04"/>
  </r>
  <r>
    <x v="17"/>
    <x v="0"/>
    <x v="0"/>
    <s v="ROCKHAMPTON"/>
    <x v="0"/>
    <s v="2022-12-02"/>
    <x v="1"/>
    <x v="12"/>
    <n v="2"/>
    <n v="9"/>
    <n v="1228"/>
    <n v="250.04"/>
  </r>
  <r>
    <x v="17"/>
    <x v="0"/>
    <x v="0"/>
    <s v="ROCKHAMPTON"/>
    <x v="0"/>
    <s v="2022-12-03"/>
    <x v="1"/>
    <x v="12"/>
    <n v="2"/>
    <n v="9"/>
    <n v="791"/>
    <n v="250.04"/>
  </r>
  <r>
    <x v="17"/>
    <x v="0"/>
    <x v="0"/>
    <s v="ROCKHAMPTON"/>
    <x v="0"/>
    <s v="2022-12-05"/>
    <x v="1"/>
    <x v="12"/>
    <n v="2"/>
    <n v="9"/>
    <n v="115"/>
    <n v="250.04"/>
  </r>
  <r>
    <x v="17"/>
    <x v="0"/>
    <x v="0"/>
    <s v="ROCKHAMPTON"/>
    <x v="0"/>
    <s v="2022-12-06"/>
    <x v="1"/>
    <x v="12"/>
    <n v="2"/>
    <n v="9"/>
    <n v="789"/>
    <n v="250.04"/>
  </r>
  <r>
    <x v="17"/>
    <x v="0"/>
    <x v="0"/>
    <s v="ROCKHAMPTON"/>
    <x v="0"/>
    <s v="2022-12-07"/>
    <x v="1"/>
    <x v="12"/>
    <n v="2"/>
    <n v="9"/>
    <n v="289"/>
    <n v="250.04"/>
  </r>
  <r>
    <x v="17"/>
    <x v="0"/>
    <x v="0"/>
    <s v="ROCKHAMPTON"/>
    <x v="0"/>
    <s v="2022-12-08"/>
    <x v="1"/>
    <x v="12"/>
    <n v="2"/>
    <n v="9"/>
    <n v="204"/>
    <n v="250.04"/>
  </r>
  <r>
    <x v="17"/>
    <x v="0"/>
    <x v="0"/>
    <s v="ROCKHAMPTON"/>
    <x v="0"/>
    <s v="2022-12-09"/>
    <x v="1"/>
    <x v="12"/>
    <n v="2"/>
    <n v="9"/>
    <n v="308"/>
    <n v="250.04"/>
  </r>
  <r>
    <x v="17"/>
    <x v="0"/>
    <x v="0"/>
    <s v="ROCKHAMPTON"/>
    <x v="0"/>
    <s v="2022-12-10"/>
    <x v="1"/>
    <x v="12"/>
    <n v="2"/>
    <n v="9"/>
    <n v="371"/>
    <n v="250.04"/>
  </r>
  <r>
    <x v="17"/>
    <x v="0"/>
    <x v="0"/>
    <s v="ROCKHAMPTON"/>
    <x v="0"/>
    <s v="2022-12-12"/>
    <x v="1"/>
    <x v="12"/>
    <n v="2"/>
    <n v="9"/>
    <n v="320"/>
    <n v="250.04"/>
  </r>
  <r>
    <x v="17"/>
    <x v="0"/>
    <x v="0"/>
    <s v="ROCKHAMPTON"/>
    <x v="0"/>
    <s v="2022-12-13"/>
    <x v="1"/>
    <x v="12"/>
    <n v="2"/>
    <n v="9"/>
    <n v="261"/>
    <n v="250.04"/>
  </r>
  <r>
    <x v="17"/>
    <x v="0"/>
    <x v="0"/>
    <s v="ROCKHAMPTON"/>
    <x v="0"/>
    <s v="2022-12-14"/>
    <x v="1"/>
    <x v="12"/>
    <n v="2"/>
    <n v="9"/>
    <n v="418"/>
    <n v="250.04"/>
  </r>
  <r>
    <x v="17"/>
    <x v="0"/>
    <x v="0"/>
    <s v="ROCKHAMPTON"/>
    <x v="0"/>
    <s v="2022-12-15"/>
    <x v="1"/>
    <x v="12"/>
    <n v="2"/>
    <n v="9"/>
    <n v="255"/>
    <n v="250.04"/>
  </r>
  <r>
    <x v="17"/>
    <x v="0"/>
    <x v="0"/>
    <s v="ROCKHAMPTON"/>
    <x v="0"/>
    <s v="2022-12-16"/>
    <x v="1"/>
    <x v="12"/>
    <n v="2"/>
    <n v="9"/>
    <n v="398"/>
    <n v="250.04"/>
  </r>
  <r>
    <x v="17"/>
    <x v="0"/>
    <x v="0"/>
    <s v="ROCKHAMPTON"/>
    <x v="0"/>
    <s v="2022-12-17"/>
    <x v="1"/>
    <x v="12"/>
    <n v="2"/>
    <n v="9"/>
    <n v="395"/>
    <n v="250.04"/>
  </r>
  <r>
    <x v="17"/>
    <x v="0"/>
    <x v="0"/>
    <s v="ROCKHAMPTON"/>
    <x v="0"/>
    <s v="2022-12-19"/>
    <x v="1"/>
    <x v="12"/>
    <n v="2"/>
    <n v="9"/>
    <n v="266"/>
    <n v="250.04"/>
  </r>
  <r>
    <x v="17"/>
    <x v="0"/>
    <x v="0"/>
    <s v="ROCKHAMPTON"/>
    <x v="0"/>
    <s v="2022-12-20"/>
    <x v="1"/>
    <x v="12"/>
    <n v="2"/>
    <n v="9"/>
    <n v="138"/>
    <n v="250.04"/>
  </r>
  <r>
    <x v="17"/>
    <x v="0"/>
    <x v="0"/>
    <s v="ROCKHAMPTON"/>
    <x v="0"/>
    <s v="2022-12-21"/>
    <x v="1"/>
    <x v="12"/>
    <n v="2"/>
    <n v="9"/>
    <n v="350"/>
    <n v="250.04"/>
  </r>
  <r>
    <x v="17"/>
    <x v="2"/>
    <x v="1"/>
    <s v="ROCKHAMPTON"/>
    <x v="0"/>
    <s v="2022-12-20"/>
    <x v="3"/>
    <x v="13"/>
    <n v="1"/>
    <n v="3"/>
    <n v="250"/>
    <n v="98.5"/>
  </r>
  <r>
    <x v="18"/>
    <x v="0"/>
    <x v="0"/>
    <s v="ROCKHAMPTON"/>
    <x v="0"/>
    <s v="2023-01-02"/>
    <x v="1"/>
    <x v="12"/>
    <n v="2"/>
    <n v="9"/>
    <n v="738"/>
    <n v="250.04"/>
  </r>
  <r>
    <x v="18"/>
    <x v="0"/>
    <x v="0"/>
    <s v="ROCKHAMPTON"/>
    <x v="0"/>
    <s v="2023-01-03"/>
    <x v="1"/>
    <x v="12"/>
    <n v="2"/>
    <n v="9"/>
    <n v="59"/>
    <n v="250.04"/>
  </r>
  <r>
    <x v="18"/>
    <x v="0"/>
    <x v="0"/>
    <s v="ROCKHAMPTON"/>
    <x v="0"/>
    <s v="2023-01-04"/>
    <x v="1"/>
    <x v="12"/>
    <n v="2"/>
    <n v="9"/>
    <n v="280"/>
    <n v="250.04"/>
  </r>
  <r>
    <x v="18"/>
    <x v="0"/>
    <x v="0"/>
    <s v="ROCKHAMPTON"/>
    <x v="0"/>
    <s v="2023-01-05"/>
    <x v="1"/>
    <x v="12"/>
    <n v="2"/>
    <n v="9"/>
    <n v="288"/>
    <n v="250.04"/>
  </r>
  <r>
    <x v="18"/>
    <x v="0"/>
    <x v="0"/>
    <s v="ROCKHAMPTON"/>
    <x v="0"/>
    <s v="2023-01-06"/>
    <x v="1"/>
    <x v="12"/>
    <n v="0"/>
    <n v="0"/>
    <n v="0"/>
    <n v="0"/>
  </r>
  <r>
    <x v="18"/>
    <x v="0"/>
    <x v="0"/>
    <s v="ROCKHAMPTON"/>
    <x v="0"/>
    <s v="2023-01-07"/>
    <x v="1"/>
    <x v="12"/>
    <n v="2"/>
    <n v="9"/>
    <n v="529"/>
    <n v="250.04"/>
  </r>
  <r>
    <x v="18"/>
    <x v="0"/>
    <x v="0"/>
    <s v="ROCKHAMPTON"/>
    <x v="0"/>
    <s v="2023-01-09"/>
    <x v="1"/>
    <x v="12"/>
    <n v="2"/>
    <n v="9"/>
    <n v="311"/>
    <n v="250.04"/>
  </r>
  <r>
    <x v="18"/>
    <x v="0"/>
    <x v="0"/>
    <s v="ROCKHAMPTON"/>
    <x v="0"/>
    <s v="2023-01-10"/>
    <x v="1"/>
    <x v="12"/>
    <n v="2"/>
    <n v="9"/>
    <n v="340"/>
    <n v="250.04"/>
  </r>
  <r>
    <x v="18"/>
    <x v="0"/>
    <x v="0"/>
    <s v="ROCKHAMPTON"/>
    <x v="0"/>
    <s v="2023-01-11"/>
    <x v="1"/>
    <x v="12"/>
    <n v="2"/>
    <n v="9"/>
    <n v="719"/>
    <n v="250.04"/>
  </r>
  <r>
    <x v="18"/>
    <x v="0"/>
    <x v="0"/>
    <s v="ROCKHAMPTON"/>
    <x v="0"/>
    <s v="2023-01-12"/>
    <x v="1"/>
    <x v="12"/>
    <n v="2"/>
    <n v="9"/>
    <n v="99"/>
    <n v="250.04"/>
  </r>
  <r>
    <x v="18"/>
    <x v="0"/>
    <x v="0"/>
    <s v="ROCKHAMPTON"/>
    <x v="0"/>
    <s v="2023-01-13"/>
    <x v="1"/>
    <x v="12"/>
    <n v="2"/>
    <n v="9"/>
    <n v="698"/>
    <n v="250.04"/>
  </r>
  <r>
    <x v="18"/>
    <x v="0"/>
    <x v="0"/>
    <s v="ROCKHAMPTON"/>
    <x v="0"/>
    <s v="2023-01-14"/>
    <x v="1"/>
    <x v="12"/>
    <n v="2"/>
    <n v="9"/>
    <n v="500"/>
    <n v="250.04"/>
  </r>
  <r>
    <x v="18"/>
    <x v="0"/>
    <x v="0"/>
    <s v="ROCKHAMPTON"/>
    <x v="0"/>
    <s v="2023-01-16"/>
    <x v="1"/>
    <x v="12"/>
    <n v="2"/>
    <n v="9"/>
    <n v="74"/>
    <n v="250.04"/>
  </r>
  <r>
    <x v="18"/>
    <x v="0"/>
    <x v="0"/>
    <s v="ROCKHAMPTON"/>
    <x v="0"/>
    <s v="2023-01-17"/>
    <x v="1"/>
    <x v="12"/>
    <n v="2"/>
    <n v="9"/>
    <n v="798"/>
    <n v="250.04"/>
  </r>
  <r>
    <x v="18"/>
    <x v="0"/>
    <x v="0"/>
    <s v="ROCKHAMPTON"/>
    <x v="0"/>
    <s v="2023-01-18"/>
    <x v="1"/>
    <x v="12"/>
    <n v="2"/>
    <n v="9"/>
    <n v="328"/>
    <n v="250.04"/>
  </r>
  <r>
    <x v="18"/>
    <x v="0"/>
    <x v="0"/>
    <s v="ROCKHAMPTON"/>
    <x v="0"/>
    <s v="2023-01-19"/>
    <x v="1"/>
    <x v="12"/>
    <n v="2"/>
    <n v="9"/>
    <n v="618"/>
    <n v="250.04"/>
  </r>
  <r>
    <x v="18"/>
    <x v="0"/>
    <x v="0"/>
    <s v="ROCKHAMPTON"/>
    <x v="0"/>
    <s v="2023-01-20"/>
    <x v="1"/>
    <x v="12"/>
    <n v="2"/>
    <n v="9"/>
    <n v="259"/>
    <n v="250.04"/>
  </r>
  <r>
    <x v="18"/>
    <x v="0"/>
    <x v="0"/>
    <s v="ROCKHAMPTON"/>
    <x v="0"/>
    <s v="2023-01-21"/>
    <x v="1"/>
    <x v="12"/>
    <n v="2"/>
    <n v="9"/>
    <n v="577"/>
    <n v="250.04"/>
  </r>
  <r>
    <x v="18"/>
    <x v="0"/>
    <x v="0"/>
    <s v="ROCKHAMPTON"/>
    <x v="0"/>
    <s v="2023-01-23"/>
    <x v="1"/>
    <x v="12"/>
    <n v="2"/>
    <n v="9"/>
    <n v="261"/>
    <n v="250.04"/>
  </r>
  <r>
    <x v="18"/>
    <x v="0"/>
    <x v="0"/>
    <s v="ROCKHAMPTON"/>
    <x v="0"/>
    <s v="2023-01-24"/>
    <x v="1"/>
    <x v="12"/>
    <n v="2"/>
    <n v="9"/>
    <n v="668"/>
    <n v="250.04"/>
  </r>
  <r>
    <x v="18"/>
    <x v="0"/>
    <x v="0"/>
    <s v="ROCKHAMPTON"/>
    <x v="0"/>
    <s v="2023-01-25"/>
    <x v="1"/>
    <x v="12"/>
    <n v="2"/>
    <n v="9"/>
    <n v="778"/>
    <n v="250.04"/>
  </r>
  <r>
    <x v="18"/>
    <x v="0"/>
    <x v="0"/>
    <s v="ROCKHAMPTON"/>
    <x v="0"/>
    <s v="2023-01-26"/>
    <x v="1"/>
    <x v="12"/>
    <n v="0"/>
    <n v="0"/>
    <n v="0"/>
    <n v="0"/>
  </r>
  <r>
    <x v="18"/>
    <x v="0"/>
    <x v="0"/>
    <s v="ROCKHAMPTON"/>
    <x v="0"/>
    <s v="2023-01-27"/>
    <x v="1"/>
    <x v="12"/>
    <n v="2"/>
    <n v="9"/>
    <n v="878"/>
    <n v="250.04"/>
  </r>
  <r>
    <x v="18"/>
    <x v="0"/>
    <x v="0"/>
    <s v="ROCKHAMPTON"/>
    <x v="0"/>
    <s v="2023-01-28"/>
    <x v="1"/>
    <x v="12"/>
    <n v="2"/>
    <n v="9"/>
    <n v="1068"/>
    <n v="250.04"/>
  </r>
  <r>
    <x v="18"/>
    <x v="0"/>
    <x v="0"/>
    <s v="ROCKHAMPTON"/>
    <x v="0"/>
    <s v="2023-01-30"/>
    <x v="1"/>
    <x v="12"/>
    <n v="2"/>
    <n v="9"/>
    <n v="578"/>
    <n v="250.04"/>
  </r>
  <r>
    <x v="18"/>
    <x v="0"/>
    <x v="0"/>
    <s v="ROCKHAMPTON"/>
    <x v="0"/>
    <s v="2023-01-31"/>
    <x v="1"/>
    <x v="12"/>
    <n v="2"/>
    <n v="9"/>
    <n v="968"/>
    <n v="250.04"/>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r>
    <x v="19"/>
    <x v="3"/>
    <x v="2"/>
    <m/>
    <x v="2"/>
    <m/>
    <x v="9"/>
    <x v="14"/>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92200C-9D58-4530-A939-B1676A5CCCFE}" name="PivotTable16" cacheId="6859" applyNumberFormats="0" applyBorderFormats="0" applyFontFormats="0" applyPatternFormats="0" applyAlignmentFormats="0" applyWidthHeightFormats="1" dataCaption="Values" updatedVersion="8" minRefreshableVersion="3" showDrill="0" useAutoFormatting="1" itemPrintTitles="1" createdVersion="6" indent="0" outline="1" outlineData="1" multipleFieldFilters="0">
  <location ref="A5:I36" firstHeaderRow="0" firstDataRow="1" firstDataCol="5" rowPageCount="1" colPageCount="1"/>
  <pivotFields count="12">
    <pivotField axis="axisPage" multipleItemSelectionAllowed="1" showAll="0">
      <items count="79">
        <item m="1" x="61"/>
        <item m="1" x="28"/>
        <item x="19"/>
        <item m="1" x="25"/>
        <item m="1" x="43"/>
        <item m="1" x="66"/>
        <item m="1" x="21"/>
        <item m="1" x="71"/>
        <item m="1" x="30"/>
        <item m="1" x="60"/>
        <item m="1" x="55"/>
        <item m="1" x="46"/>
        <item m="1" x="70"/>
        <item m="1" x="65"/>
        <item m="1" x="49"/>
        <item m="1" x="67"/>
        <item m="1" x="45"/>
        <item m="1" x="44"/>
        <item m="1" x="63"/>
        <item m="1" x="52"/>
        <item m="1" x="74"/>
        <item m="1" x="40"/>
        <item m="1" x="35"/>
        <item m="1" x="59"/>
        <item m="1" x="20"/>
        <item m="1" x="73"/>
        <item m="1" x="64"/>
        <item m="1" x="76"/>
        <item m="1" x="58"/>
        <item m="1" x="56"/>
        <item m="1" x="26"/>
        <item m="1" x="72"/>
        <item m="1" x="68"/>
        <item m="1" x="51"/>
        <item m="1" x="50"/>
        <item m="1" x="39"/>
        <item m="1" x="62"/>
        <item m="1" x="54"/>
        <item m="1" x="42"/>
        <item m="1" x="57"/>
        <item m="1" x="38"/>
        <item m="1" x="36"/>
        <item m="1" x="53"/>
        <item m="1" x="47"/>
        <item m="1" x="69"/>
        <item m="1" x="32"/>
        <item m="1" x="31"/>
        <item m="1" x="24"/>
        <item m="1" x="41"/>
        <item m="1" x="34"/>
        <item m="1" x="27"/>
        <item m="1" x="37"/>
        <item m="1" x="23"/>
        <item m="1" x="22"/>
        <item m="1" x="33"/>
        <item m="1" x="29"/>
        <item m="1" x="48"/>
        <item m="1" x="77"/>
        <item m="1" x="75"/>
        <item x="0"/>
        <item x="1"/>
        <item x="2"/>
        <item x="3"/>
        <item x="4"/>
        <item x="5"/>
        <item x="6"/>
        <item x="7"/>
        <item x="8"/>
        <item x="9"/>
        <item x="10"/>
        <item x="11"/>
        <item x="12"/>
        <item x="13"/>
        <item x="14"/>
        <item x="15"/>
        <item x="16"/>
        <item x="17"/>
        <item x="18"/>
        <item t="default"/>
      </items>
    </pivotField>
    <pivotField axis="axisRow" outline="0" showAll="0" insertBlankRow="1">
      <items count="105">
        <item m="1" x="21"/>
        <item m="1" x="7"/>
        <item m="1" x="8"/>
        <item m="1" x="79"/>
        <item m="1" x="60"/>
        <item m="1" x="98"/>
        <item m="1" x="61"/>
        <item m="1" x="17"/>
        <item m="1" x="72"/>
        <item m="1" x="10"/>
        <item m="1" x="57"/>
        <item m="1" x="13"/>
        <item m="1" x="95"/>
        <item m="1" x="97"/>
        <item m="1" x="85"/>
        <item m="1" x="47"/>
        <item m="1" x="73"/>
        <item m="1" x="38"/>
        <item m="1" x="55"/>
        <item m="1" x="35"/>
        <item m="1" x="49"/>
        <item m="1" x="12"/>
        <item m="1" x="101"/>
        <item m="1" x="5"/>
        <item m="1" x="48"/>
        <item m="1" x="100"/>
        <item m="1" x="59"/>
        <item m="1" x="9"/>
        <item m="1" x="64"/>
        <item m="1" x="66"/>
        <item m="1" x="76"/>
        <item m="1" x="92"/>
        <item m="1" x="86"/>
        <item m="1" x="14"/>
        <item m="1" x="56"/>
        <item m="1" x="54"/>
        <item m="1" x="39"/>
        <item m="1" x="30"/>
        <item m="1" x="65"/>
        <item m="1" x="63"/>
        <item m="1" x="70"/>
        <item m="1" x="78"/>
        <item m="1" x="42"/>
        <item m="1" x="99"/>
        <item m="1" x="87"/>
        <item x="3"/>
        <item m="1" x="50"/>
        <item m="1" x="51"/>
        <item m="1" x="4"/>
        <item m="1" x="52"/>
        <item m="1" x="77"/>
        <item m="1" x="32"/>
        <item m="1" x="15"/>
        <item m="1" x="23"/>
        <item m="1" x="74"/>
        <item m="1" x="75"/>
        <item m="1" x="18"/>
        <item m="1" x="16"/>
        <item m="1" x="41"/>
        <item m="1" x="27"/>
        <item m="1" x="81"/>
        <item m="1" x="93"/>
        <item m="1" x="46"/>
        <item m="1" x="25"/>
        <item m="1" x="69"/>
        <item m="1" x="34"/>
        <item m="1" x="91"/>
        <item m="1" x="36"/>
        <item m="1" x="88"/>
        <item m="1" x="26"/>
        <item m="1" x="40"/>
        <item m="1" x="62"/>
        <item m="1" x="33"/>
        <item m="1" x="67"/>
        <item m="1" x="43"/>
        <item m="1" x="45"/>
        <item m="1" x="71"/>
        <item m="1" x="19"/>
        <item m="1" x="37"/>
        <item m="1" x="89"/>
        <item m="1" x="29"/>
        <item m="1" x="44"/>
        <item m="1" x="24"/>
        <item m="1" x="11"/>
        <item m="1" x="90"/>
        <item m="1" x="58"/>
        <item m="1" x="94"/>
        <item m="1" x="31"/>
        <item m="1" x="68"/>
        <item m="1" x="83"/>
        <item m="1" x="102"/>
        <item m="1" x="80"/>
        <item m="1" x="103"/>
        <item m="1" x="82"/>
        <item m="1" x="84"/>
        <item m="1" x="96"/>
        <item m="1" x="28"/>
        <item m="1" x="53"/>
        <item m="1" x="6"/>
        <item m="1" x="22"/>
        <item m="1" x="20"/>
        <item x="0"/>
        <item x="1"/>
        <item x="2"/>
        <item t="default"/>
      </items>
    </pivotField>
    <pivotField axis="axisRow" outline="0" showAll="0" defaultSubtotal="0">
      <items count="101">
        <item m="1" x="57"/>
        <item m="1" x="27"/>
        <item m="1" x="11"/>
        <item m="1" x="69"/>
        <item m="1" x="86"/>
        <item m="1" x="90"/>
        <item m="1" x="45"/>
        <item m="1" x="84"/>
        <item m="1" x="50"/>
        <item m="1" x="82"/>
        <item m="1" x="91"/>
        <item m="1" x="60"/>
        <item m="1" x="63"/>
        <item m="1" x="22"/>
        <item m="1" x="39"/>
        <item m="1" x="12"/>
        <item m="1" x="89"/>
        <item m="1" x="16"/>
        <item m="1" x="65"/>
        <item m="1" x="59"/>
        <item m="1" x="19"/>
        <item m="1" x="56"/>
        <item m="1" x="8"/>
        <item m="1" x="15"/>
        <item m="1" x="24"/>
        <item m="1" x="44"/>
        <item m="1" x="9"/>
        <item m="1" x="79"/>
        <item m="1" x="43"/>
        <item m="1" x="33"/>
        <item m="1" x="68"/>
        <item m="1" x="49"/>
        <item m="1" x="10"/>
        <item m="1" x="51"/>
        <item m="1" x="14"/>
        <item m="1" x="77"/>
        <item m="1" x="31"/>
        <item m="1" x="26"/>
        <item m="1" x="36"/>
        <item m="1" x="75"/>
        <item m="1" x="7"/>
        <item m="1" x="13"/>
        <item m="1" x="54"/>
        <item m="1" x="95"/>
        <item m="1" x="76"/>
        <item x="2"/>
        <item m="1" x="37"/>
        <item m="1" x="99"/>
        <item m="1" x="98"/>
        <item m="1" x="74"/>
        <item m="1" x="58"/>
        <item m="1" x="70"/>
        <item m="1" x="92"/>
        <item m="1" x="87"/>
        <item m="1" x="94"/>
        <item m="1" x="85"/>
        <item m="1" x="29"/>
        <item m="1" x="100"/>
        <item m="1" x="46"/>
        <item m="1" x="38"/>
        <item m="1" x="72"/>
        <item m="1" x="3"/>
        <item m="1" x="47"/>
        <item m="1" x="18"/>
        <item m="1" x="23"/>
        <item m="1" x="5"/>
        <item m="1" x="34"/>
        <item m="1" x="20"/>
        <item m="1" x="17"/>
        <item m="1" x="81"/>
        <item m="1" x="25"/>
        <item m="1" x="32"/>
        <item m="1" x="66"/>
        <item m="1" x="4"/>
        <item m="1" x="28"/>
        <item m="1" x="6"/>
        <item m="1" x="78"/>
        <item m="1" x="61"/>
        <item m="1" x="97"/>
        <item m="1" x="93"/>
        <item m="1" x="52"/>
        <item m="1" x="21"/>
        <item m="1" x="48"/>
        <item m="1" x="30"/>
        <item m="1" x="96"/>
        <item m="1" x="73"/>
        <item m="1" x="42"/>
        <item m="1" x="83"/>
        <item m="1" x="41"/>
        <item m="1" x="40"/>
        <item m="1" x="35"/>
        <item m="1" x="62"/>
        <item m="1" x="67"/>
        <item m="1" x="64"/>
        <item m="1" x="55"/>
        <item m="1" x="88"/>
        <item m="1" x="80"/>
        <item m="1" x="71"/>
        <item m="1" x="53"/>
        <item x="0"/>
        <item x="1"/>
      </items>
    </pivotField>
    <pivotField showAll="0"/>
    <pivotField axis="axisRow" outline="0" showAll="0" defaultSubtotal="0">
      <items count="20">
        <item x="0"/>
        <item m="1" x="9"/>
        <item m="1" x="14"/>
        <item m="1" x="13"/>
        <item m="1" x="19"/>
        <item m="1" x="4"/>
        <item x="2"/>
        <item m="1" x="5"/>
        <item m="1" x="6"/>
        <item m="1" x="8"/>
        <item m="1" x="3"/>
        <item m="1" x="12"/>
        <item m="1" x="17"/>
        <item m="1" x="15"/>
        <item m="1" x="16"/>
        <item x="1"/>
        <item m="1" x="18"/>
        <item m="1" x="7"/>
        <item m="1" x="10"/>
        <item m="1" x="11"/>
      </items>
      <extLst>
        <ext xmlns:x14="http://schemas.microsoft.com/office/spreadsheetml/2009/9/main" uri="{2946ED86-A175-432a-8AC1-64E0C546D7DE}">
          <x14:pivotField fillDownLabels="1"/>
        </ext>
      </extLst>
    </pivotField>
    <pivotField showAll="0"/>
    <pivotField axis="axisRow" outline="0" showAll="0" defaultSubtotal="0">
      <items count="198">
        <item x="3"/>
        <item m="1" x="85"/>
        <item m="1" x="53"/>
        <item m="1" x="147"/>
        <item m="1" x="89"/>
        <item m="1" x="62"/>
        <item m="1" x="176"/>
        <item m="1" x="73"/>
        <item m="1" x="121"/>
        <item m="1" x="161"/>
        <item m="1" x="162"/>
        <item m="1" x="52"/>
        <item m="1" x="148"/>
        <item m="1" x="90"/>
        <item m="1" x="63"/>
        <item m="1" x="177"/>
        <item m="1" x="75"/>
        <item m="1" x="185"/>
        <item m="1" x="82"/>
        <item m="1" x="84"/>
        <item m="1" x="183"/>
        <item m="1" x="184"/>
        <item m="1" x="39"/>
        <item m="1" x="64"/>
        <item m="1" x="32"/>
        <item m="1" x="103"/>
        <item m="1" x="187"/>
        <item m="1" x="34"/>
        <item x="9"/>
        <item m="1" x="119"/>
        <item m="1" x="79"/>
        <item m="1" x="58"/>
        <item m="1" x="168"/>
        <item m="1" x="112"/>
        <item m="1" x="188"/>
        <item m="1" x="132"/>
        <item m="1" x="91"/>
        <item m="1" x="44"/>
        <item m="1" x="15"/>
        <item m="1" x="67"/>
        <item m="1" x="122"/>
        <item m="1" x="126"/>
        <item m="1" x="125"/>
        <item m="1" x="155"/>
        <item m="1" x="138"/>
        <item m="1" x="49"/>
        <item m="1" x="131"/>
        <item m="1" x="66"/>
        <item m="1" x="56"/>
        <item m="1" x="149"/>
        <item m="1" x="57"/>
        <item m="1" x="195"/>
        <item m="1" x="116"/>
        <item m="1" x="117"/>
        <item m="1" x="65"/>
        <item m="1" x="140"/>
        <item m="1" x="21"/>
        <item m="1" x="152"/>
        <item m="1" x="145"/>
        <item m="1" x="18"/>
        <item m="1" x="102"/>
        <item m="1" x="100"/>
        <item m="1" x="46"/>
        <item m="1" x="137"/>
        <item m="1" x="96"/>
        <item m="1" x="107"/>
        <item m="1" x="118"/>
        <item m="1" x="78"/>
        <item m="1" x="29"/>
        <item m="1" x="143"/>
        <item m="1" x="68"/>
        <item m="1" x="76"/>
        <item m="1" x="139"/>
        <item m="1" x="43"/>
        <item m="1" x="181"/>
        <item m="1" x="19"/>
        <item m="1" x="48"/>
        <item m="1" x="105"/>
        <item m="1" x="23"/>
        <item m="1" x="16"/>
        <item m="1" x="163"/>
        <item m="1" x="41"/>
        <item m="1" x="42"/>
        <item m="1" x="11"/>
        <item m="1" x="12"/>
        <item m="1" x="180"/>
        <item m="1" x="141"/>
        <item m="1" x="144"/>
        <item m="1" x="88"/>
        <item m="1" x="59"/>
        <item m="1" x="70"/>
        <item m="1" x="109"/>
        <item m="1" x="50"/>
        <item m="1" x="106"/>
        <item m="1" x="154"/>
        <item m="1" x="179"/>
        <item x="2"/>
        <item m="1" x="95"/>
        <item m="1" x="178"/>
        <item m="1" x="24"/>
        <item m="1" x="47"/>
        <item m="1" x="129"/>
        <item m="1" x="83"/>
        <item m="1" x="192"/>
        <item m="1" x="173"/>
        <item m="1" x="130"/>
        <item m="1" x="194"/>
        <item m="1" x="17"/>
        <item m="1" x="45"/>
        <item m="1" x="171"/>
        <item m="1" x="133"/>
        <item m="1" x="22"/>
        <item m="1" x="74"/>
        <item m="1" x="38"/>
        <item m="1" x="182"/>
        <item m="1" x="86"/>
        <item m="1" x="175"/>
        <item m="1" x="150"/>
        <item m="1" x="151"/>
        <item m="1" x="36"/>
        <item m="1" x="35"/>
        <item m="1" x="197"/>
        <item m="1" x="164"/>
        <item m="1" x="93"/>
        <item m="1" x="37"/>
        <item m="1" x="196"/>
        <item m="1" x="55"/>
        <item m="1" x="111"/>
        <item m="1" x="54"/>
        <item m="1" x="110"/>
        <item m="1" x="167"/>
        <item m="1" x="127"/>
        <item m="1" x="128"/>
        <item m="1" x="158"/>
        <item m="1" x="153"/>
        <item m="1" x="156"/>
        <item m="1" x="31"/>
        <item m="1" x="26"/>
        <item m="1" x="72"/>
        <item m="1" x="61"/>
        <item m="1" x="77"/>
        <item m="1" x="134"/>
        <item m="1" x="51"/>
        <item m="1" x="27"/>
        <item x="1"/>
        <item m="1" x="94"/>
        <item m="1" x="80"/>
        <item m="1" x="169"/>
        <item m="1" x="189"/>
        <item m="1" x="123"/>
        <item m="1" x="136"/>
        <item m="1" x="166"/>
        <item m="1" x="98"/>
        <item m="1" x="115"/>
        <item m="1" x="193"/>
        <item m="1" x="174"/>
        <item m="1" x="190"/>
        <item m="1" x="160"/>
        <item m="1" x="40"/>
        <item m="1" x="191"/>
        <item m="1" x="172"/>
        <item m="1" x="14"/>
        <item m="1" x="108"/>
        <item m="1" x="81"/>
        <item m="1" x="165"/>
        <item m="1" x="13"/>
        <item m="1" x="114"/>
        <item m="1" x="159"/>
        <item m="1" x="71"/>
        <item m="1" x="170"/>
        <item m="1" x="186"/>
        <item m="1" x="69"/>
        <item m="1" x="157"/>
        <item m="1" x="124"/>
        <item m="1" x="135"/>
        <item m="1" x="113"/>
        <item m="1" x="97"/>
        <item m="1" x="60"/>
        <item m="1" x="30"/>
        <item m="1" x="25"/>
        <item x="0"/>
        <item m="1" x="92"/>
        <item m="1" x="99"/>
        <item m="1" x="146"/>
        <item m="1" x="87"/>
        <item m="1" x="142"/>
        <item m="1" x="20"/>
        <item m="1" x="33"/>
        <item m="1" x="120"/>
        <item m="1" x="104"/>
        <item m="1" x="101"/>
        <item m="1" x="10"/>
        <item m="1" x="28"/>
        <item x="4"/>
        <item x="5"/>
        <item x="6"/>
        <item x="7"/>
        <item x="8"/>
      </items>
      <extLst>
        <ext xmlns:x14="http://schemas.microsoft.com/office/spreadsheetml/2009/9/main" uri="{2946ED86-A175-432a-8AC1-64E0C546D7DE}">
          <x14:pivotField fillDownLabels="1"/>
        </ext>
      </extLst>
    </pivotField>
    <pivotField axis="axisRow" outline="0" showAll="0">
      <items count="319">
        <item m="1" x="184"/>
        <item x="9"/>
        <item m="1" x="145"/>
        <item m="1" x="205"/>
        <item m="1" x="33"/>
        <item m="1" x="282"/>
        <item m="1" x="107"/>
        <item m="1" x="42"/>
        <item m="1" x="260"/>
        <item m="1" x="237"/>
        <item m="1" x="22"/>
        <item m="1" x="235"/>
        <item m="1" x="83"/>
        <item m="1" x="231"/>
        <item m="1" x="177"/>
        <item m="1" x="75"/>
        <item m="1" x="105"/>
        <item m="1" x="159"/>
        <item m="1" x="85"/>
        <item m="1" x="54"/>
        <item m="1" x="194"/>
        <item x="14"/>
        <item m="1" x="172"/>
        <item m="1" x="252"/>
        <item m="1" x="254"/>
        <item m="1" x="59"/>
        <item m="1" x="61"/>
        <item m="1" x="39"/>
        <item m="1" x="151"/>
        <item m="1" x="313"/>
        <item m="1" x="108"/>
        <item m="1" x="250"/>
        <item m="1" x="162"/>
        <item m="1" x="192"/>
        <item m="1" x="106"/>
        <item m="1" x="196"/>
        <item m="1" x="301"/>
        <item m="1" x="297"/>
        <item m="1" x="316"/>
        <item m="1" x="89"/>
        <item m="1" x="68"/>
        <item m="1" x="245"/>
        <item m="1" x="25"/>
        <item m="1" x="24"/>
        <item m="1" x="167"/>
        <item m="1" x="62"/>
        <item m="1" x="64"/>
        <item m="1" x="156"/>
        <item m="1" x="23"/>
        <item m="1" x="261"/>
        <item m="1" x="268"/>
        <item m="1" x="222"/>
        <item m="1" x="234"/>
        <item m="1" x="174"/>
        <item m="1" x="228"/>
        <item m="1" x="65"/>
        <item m="1" x="115"/>
        <item m="1" x="227"/>
        <item m="1" x="169"/>
        <item m="1" x="45"/>
        <item m="1" x="179"/>
        <item m="1" x="241"/>
        <item m="1" x="154"/>
        <item m="1" x="82"/>
        <item m="1" x="129"/>
        <item m="1" x="201"/>
        <item m="1" x="198"/>
        <item m="1" x="16"/>
        <item m="1" x="256"/>
        <item m="1" x="110"/>
        <item m="1" x="271"/>
        <item m="1" x="67"/>
        <item m="1" x="306"/>
        <item m="1" x="98"/>
        <item m="1" x="19"/>
        <item m="1" x="140"/>
        <item m="1" x="182"/>
        <item m="1" x="189"/>
        <item m="1" x="176"/>
        <item m="1" x="32"/>
        <item m="1" x="97"/>
        <item m="1" x="287"/>
        <item m="1" x="88"/>
        <item m="1" x="197"/>
        <item m="1" x="276"/>
        <item m="1" x="187"/>
        <item m="1" x="305"/>
        <item m="1" x="173"/>
        <item x="11"/>
        <item m="1" x="135"/>
        <item m="1" x="283"/>
        <item m="1" x="77"/>
        <item m="1" x="36"/>
        <item m="1" x="125"/>
        <item m="1" x="277"/>
        <item m="1" x="81"/>
        <item m="1" x="281"/>
        <item m="1" x="272"/>
        <item m="1" x="239"/>
        <item m="1" x="266"/>
        <item m="1" x="26"/>
        <item m="1" x="307"/>
        <item m="1" x="47"/>
        <item m="1" x="114"/>
        <item m="1" x="132"/>
        <item m="1" x="303"/>
        <item m="1" x="229"/>
        <item m="1" x="170"/>
        <item m="1" x="84"/>
        <item m="1" x="153"/>
        <item m="1" x="71"/>
        <item m="1" x="190"/>
        <item m="1" x="298"/>
        <item m="1" x="27"/>
        <item m="1" x="265"/>
        <item m="1" x="91"/>
        <item m="1" x="53"/>
        <item m="1" x="171"/>
        <item m="1" x="185"/>
        <item m="1" x="269"/>
        <item m="1" x="262"/>
        <item m="1" x="21"/>
        <item m="1" x="40"/>
        <item m="1" x="296"/>
        <item m="1" x="267"/>
        <item m="1" x="103"/>
        <item m="1" x="28"/>
        <item m="1" x="139"/>
        <item m="1" x="295"/>
        <item m="1" x="15"/>
        <item m="1" x="35"/>
        <item m="1" x="136"/>
        <item m="1" x="207"/>
        <item m="1" x="134"/>
        <item m="1" x="126"/>
        <item m="1" x="226"/>
        <item m="1" x="264"/>
        <item m="1" x="109"/>
        <item m="1" x="148"/>
        <item m="1" x="116"/>
        <item m="1" x="55"/>
        <item m="1" x="300"/>
        <item m="1" x="102"/>
        <item m="1" x="73"/>
        <item m="1" x="312"/>
        <item m="1" x="163"/>
        <item m="1" x="210"/>
        <item m="1" x="74"/>
        <item m="1" x="220"/>
        <item m="1" x="111"/>
        <item m="1" x="249"/>
        <item m="1" x="133"/>
        <item m="1" x="60"/>
        <item m="1" x="94"/>
        <item m="1" x="299"/>
        <item m="1" x="309"/>
        <item m="1" x="247"/>
        <item m="1" x="270"/>
        <item m="1" x="238"/>
        <item m="1" x="70"/>
        <item m="1" x="138"/>
        <item m="1" x="279"/>
        <item m="1" x="291"/>
        <item m="1" x="30"/>
        <item m="1" x="57"/>
        <item m="1" x="248"/>
        <item x="1"/>
        <item m="1" x="213"/>
        <item m="1" x="292"/>
        <item m="1" x="117"/>
        <item m="1" x="141"/>
        <item m="1" x="218"/>
        <item m="1" x="152"/>
        <item m="1" x="20"/>
        <item m="1" x="51"/>
        <item m="1" x="236"/>
        <item m="1" x="243"/>
        <item m="1" x="175"/>
        <item m="1" x="127"/>
        <item m="1" x="259"/>
        <item m="1" x="217"/>
        <item m="1" x="113"/>
        <item m="1" x="165"/>
        <item m="1" x="38"/>
        <item m="1" x="204"/>
        <item m="1" x="219"/>
        <item m="1" x="49"/>
        <item m="1" x="66"/>
        <item m="1" x="315"/>
        <item m="1" x="144"/>
        <item m="1" x="155"/>
        <item m="1" x="274"/>
        <item m="1" x="289"/>
        <item m="1" x="215"/>
        <item m="1" x="164"/>
        <item m="1" x="160"/>
        <item m="1" x="244"/>
        <item m="1" x="147"/>
        <item m="1" x="275"/>
        <item m="1" x="120"/>
        <item m="1" x="166"/>
        <item m="1" x="195"/>
        <item m="1" x="294"/>
        <item m="1" x="230"/>
        <item m="1" x="130"/>
        <item m="1" x="246"/>
        <item m="1" x="308"/>
        <item m="1" x="52"/>
        <item m="1" x="146"/>
        <item m="1" x="199"/>
        <item m="1" x="69"/>
        <item m="1" x="257"/>
        <item m="1" x="37"/>
        <item m="1" x="158"/>
        <item m="1" x="314"/>
        <item m="1" x="200"/>
        <item m="1" x="203"/>
        <item m="1" x="100"/>
        <item m="1" x="273"/>
        <item m="1" x="143"/>
        <item m="1" x="92"/>
        <item m="1" x="41"/>
        <item m="1" x="290"/>
        <item m="1" x="206"/>
        <item m="1" x="183"/>
        <item m="1" x="149"/>
        <item m="1" x="311"/>
        <item m="1" x="240"/>
        <item m="1" x="150"/>
        <item m="1" x="29"/>
        <item m="1" x="76"/>
        <item m="1" x="285"/>
        <item m="1" x="304"/>
        <item m="1" x="168"/>
        <item m="1" x="180"/>
        <item m="1" x="137"/>
        <item m="1" x="211"/>
        <item m="1" x="122"/>
        <item m="1" x="79"/>
        <item m="1" x="280"/>
        <item m="1" x="216"/>
        <item m="1" x="161"/>
        <item m="1" x="96"/>
        <item m="1" x="302"/>
        <item m="1" x="223"/>
        <item m="1" x="209"/>
        <item m="1" x="212"/>
        <item m="1" x="46"/>
        <item m="1" x="43"/>
        <item m="1" x="191"/>
        <item m="1" x="44"/>
        <item m="1" x="90"/>
        <item m="1" x="31"/>
        <item m="1" x="232"/>
        <item m="1" x="202"/>
        <item m="1" x="251"/>
        <item m="1" x="214"/>
        <item m="1" x="142"/>
        <item m="1" x="310"/>
        <item m="1" x="56"/>
        <item m="1" x="255"/>
        <item m="1" x="288"/>
        <item m="1" x="263"/>
        <item m="1" x="278"/>
        <item m="1" x="193"/>
        <item m="1" x="293"/>
        <item m="1" x="18"/>
        <item m="1" x="99"/>
        <item m="1" x="128"/>
        <item m="1" x="93"/>
        <item m="1" x="48"/>
        <item m="1" x="72"/>
        <item m="1" x="58"/>
        <item m="1" x="34"/>
        <item m="1" x="225"/>
        <item m="1" x="131"/>
        <item m="1" x="186"/>
        <item m="1" x="86"/>
        <item m="1" x="284"/>
        <item m="1" x="188"/>
        <item m="1" x="123"/>
        <item m="1" x="101"/>
        <item m="1" x="95"/>
        <item m="1" x="178"/>
        <item m="1" x="17"/>
        <item m="1" x="124"/>
        <item m="1" x="317"/>
        <item m="1" x="224"/>
        <item m="1" x="121"/>
        <item m="1" x="50"/>
        <item m="1" x="119"/>
        <item m="1" x="242"/>
        <item m="1" x="233"/>
        <item m="1" x="118"/>
        <item m="1" x="181"/>
        <item m="1" x="78"/>
        <item m="1" x="221"/>
        <item m="1" x="286"/>
        <item m="1" x="208"/>
        <item m="1" x="87"/>
        <item m="1" x="63"/>
        <item m="1" x="104"/>
        <item m="1" x="253"/>
        <item m="1" x="157"/>
        <item m="1" x="80"/>
        <item m="1" x="258"/>
        <item m="1" x="112"/>
        <item x="0"/>
        <item x="2"/>
        <item x="3"/>
        <item x="4"/>
        <item x="5"/>
        <item x="6"/>
        <item x="7"/>
        <item x="8"/>
        <item x="10"/>
        <item x="12"/>
        <item x="13"/>
        <item t="default"/>
      </items>
      <extLst>
        <ext xmlns:x14="http://schemas.microsoft.com/office/spreadsheetml/2009/9/main" uri="{2946ED86-A175-432a-8AC1-64E0C546D7DE}">
          <x14:pivotField fillDownLabels="1"/>
        </ext>
      </extLst>
    </pivotField>
    <pivotField dataField="1" showAll="0"/>
    <pivotField dataField="1" showAll="0"/>
    <pivotField dataField="1" showAll="0"/>
    <pivotField dataField="1" showAll="0"/>
  </pivotFields>
  <rowFields count="5">
    <field x="1"/>
    <field x="2"/>
    <field x="4"/>
    <field x="6"/>
    <field x="7"/>
  </rowFields>
  <rowItems count="31">
    <i>
      <x v="45"/>
      <x v="45"/>
      <x v="6"/>
      <x v="28"/>
      <x v="21"/>
    </i>
    <i t="default">
      <x v="45"/>
    </i>
    <i t="blank">
      <x v="45"/>
    </i>
    <i>
      <x v="101"/>
      <x v="99"/>
      <x/>
      <x v="144"/>
      <x v="307"/>
    </i>
    <i r="4">
      <x v="311"/>
    </i>
    <i r="4">
      <x v="314"/>
    </i>
    <i r="4">
      <x v="316"/>
    </i>
    <i r="3">
      <x v="180"/>
      <x v="307"/>
    </i>
    <i r="4">
      <x v="311"/>
    </i>
    <i r="3">
      <x v="194"/>
      <x v="311"/>
    </i>
    <i r="3">
      <x v="195"/>
      <x v="311"/>
    </i>
    <i r="3">
      <x v="196"/>
      <x v="1"/>
    </i>
    <i r="2">
      <x v="15"/>
      <x v="197"/>
      <x v="88"/>
    </i>
    <i t="default">
      <x v="101"/>
    </i>
    <i t="blank">
      <x v="101"/>
    </i>
    <i>
      <x v="102"/>
      <x v="99"/>
      <x/>
      <x v="96"/>
      <x v="166"/>
    </i>
    <i r="4">
      <x v="312"/>
    </i>
    <i r="4">
      <x v="313"/>
    </i>
    <i r="2">
      <x v="15"/>
      <x v="96"/>
      <x v="166"/>
    </i>
    <i r="4">
      <x v="312"/>
    </i>
    <i r="4">
      <x v="313"/>
    </i>
    <i t="default">
      <x v="102"/>
    </i>
    <i t="blank">
      <x v="102"/>
    </i>
    <i>
      <x v="103"/>
      <x v="100"/>
      <x/>
      <x/>
      <x v="308"/>
    </i>
    <i r="4">
      <x v="309"/>
    </i>
    <i r="4">
      <x v="315"/>
    </i>
    <i r="4">
      <x v="317"/>
    </i>
    <i r="3">
      <x v="193"/>
      <x v="310"/>
    </i>
    <i t="default">
      <x v="103"/>
    </i>
    <i t="blank">
      <x v="103"/>
    </i>
    <i t="grand">
      <x/>
    </i>
  </rowItems>
  <colFields count="1">
    <field x="-2"/>
  </colFields>
  <colItems count="4">
    <i>
      <x/>
    </i>
    <i i="1">
      <x v="1"/>
    </i>
    <i i="2">
      <x v="2"/>
    </i>
    <i i="3">
      <x v="3"/>
    </i>
  </colItems>
  <pageFields count="1">
    <pageField fld="0" hier="-1"/>
  </pageFields>
  <dataFields count="4">
    <dataField name="No. Units Serviced " fld="8" baseField="2" baseItem="0" numFmtId="2"/>
    <dataField name="Weight (kg)" fld="10" baseField="2" baseItem="0" numFmtId="4"/>
    <dataField name="Volume (m3) " fld="9" baseField="2" baseItem="0" numFmtId="2"/>
    <dataField name="Monthly Charged ($)" fld="11" baseField="2" baseItem="0" numFmtId="184"/>
  </dataFields>
  <formats count="4">
    <format dxfId="6">
      <pivotArea field="7" type="button" dataOnly="0" labelOnly="1" outline="0" axis="axisRow" fieldPosition="4"/>
    </format>
    <format dxfId="7">
      <pivotArea dataOnly="0" labelOnly="1" grandRow="1" outline="0" fieldPosition="0"/>
    </format>
    <format dxfId="8">
      <pivotArea field="0" type="button" dataOnly="0" labelOnly="1" outline="0" axis="axisPage" fieldPosition="0"/>
    </format>
    <format dxfId="9">
      <pivotArea dataOnly="0" labelOnly="1" outline="0" fieldPosition="0">
        <references count="1">
          <reference field="0" count="0"/>
        </references>
      </pivotArea>
    </format>
  </formats>
  <pivotTableStyleInfo name="Databank"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CWY_Reports">
  <a:themeElements>
    <a:clrScheme name="Custom 1">
      <a:dk1>
        <a:srgbClr val="00587C"/>
      </a:dk1>
      <a:lt1>
        <a:sysClr val="window" lastClr="FFFFFF"/>
      </a:lt1>
      <a:dk2>
        <a:srgbClr val="0085CA"/>
      </a:dk2>
      <a:lt2>
        <a:srgbClr val="99D6EA"/>
      </a:lt2>
      <a:accent1>
        <a:srgbClr val="78BE20"/>
      </a:accent1>
      <a:accent2>
        <a:srgbClr val="BCD77D"/>
      </a:accent2>
      <a:accent3>
        <a:srgbClr val="A0CFEB"/>
      </a:accent3>
      <a:accent4>
        <a:srgbClr val="666666"/>
      </a:accent4>
      <a:accent5>
        <a:srgbClr val="97999B"/>
      </a:accent5>
      <a:accent6>
        <a:srgbClr val="C0C0C0"/>
      </a:accent6>
      <a:hlink>
        <a:srgbClr val="00587C"/>
      </a:hlink>
      <a:folHlink>
        <a:srgbClr val="00587C"/>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C53"/>
  <sheetViews>
    <sheetView showGridLines="0" view="pageBreakPreview" topLeftCell="A37" zoomScaleNormal="100" zoomScaleSheetLayoutView="100" workbookViewId="0"/>
  </sheetViews>
  <sheetFormatPr defaultColWidth="9.140625" defaultRowHeight="14.45"/>
  <cols>
    <col min="1" max="1" width="107" style="81" customWidth="1"/>
    <col min="2" max="10" width="9.140625" style="81"/>
    <col min="11" max="11" width="8.7109375" style="81" customWidth="1"/>
    <col min="12" max="16384" width="9.140625" style="81"/>
  </cols>
  <sheetData>
    <row r="1" spans="3:3" ht="13.5" customHeight="1"/>
    <row r="11" spans="3:3">
      <c r="C11" s="82"/>
    </row>
    <row r="42" spans="1:1">
      <c r="A42" s="105" t="str">
        <f>Calculations!B19</f>
        <v>Rockhampton Grammer School  Consolidated Waste Report  January 2023</v>
      </c>
    </row>
    <row r="43" spans="1:1">
      <c r="A43" s="105">
        <f>Calculations!B20</f>
        <v>44927</v>
      </c>
    </row>
    <row r="53" ht="20.25" customHeight="1"/>
  </sheetData>
  <sheetProtection algorithmName="SHA-512" hashValue="4/ZlnZ80/lz/Q5DId1tgOW5CKumjqBlQNUx8sLWiMxEwO7h4K9ymbINuva9KK5gzY62VNP1THlI3tlkk6YJJig==" saltValue="U+d6MagJNcBK6fzGHCeZlg==" spinCount="100000" sheet="1" objects="1" scenarios="1"/>
  <printOptions horizontalCentered="1" verticalCentered="1"/>
  <pageMargins left="0.19685039370078741" right="0.19685039370078741" top="0.19685039370078741" bottom="0.19685039370078741" header="0.31496062992125984" footer="0.31496062992125984"/>
  <pageSetup paperSize="9" fitToWidth="0" orientation="portrait" r:id="rId1"/>
  <headerFooter>
    <oddFooter>&amp;L&amp;"-,Regular"&amp;8&amp;K01+000Cleanaway Confidential</oddFooter>
  </headerFooter>
  <rowBreaks count="1" manualBreakCount="1">
    <brk id="41" max="16383" man="1"/>
  </rowBreaks>
  <colBreaks count="1" manualBreakCount="1">
    <brk id="9" max="55" man="1"/>
  </colBreaks>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C5D75-6812-4D35-92D3-1C2E20310A4C}">
  <sheetPr codeName="Sheet9"/>
  <dimension ref="O1"/>
  <sheetViews>
    <sheetView view="pageBreakPreview" zoomScaleNormal="100" zoomScaleSheetLayoutView="100" workbookViewId="0"/>
  </sheetViews>
  <sheetFormatPr defaultColWidth="9.140625" defaultRowHeight="14.45"/>
  <cols>
    <col min="1" max="2" width="9.140625" style="78"/>
    <col min="3" max="3" width="19.140625" style="78" customWidth="1"/>
    <col min="4" max="9" width="9.140625" style="78"/>
    <col min="10" max="10" width="14.140625" style="78" customWidth="1"/>
    <col min="11" max="13" width="9.140625" style="78"/>
    <col min="14" max="14" width="17.7109375" style="78" customWidth="1"/>
    <col min="15" max="15" width="17.28515625" style="77" customWidth="1"/>
    <col min="16" max="17" width="9.28515625" style="78" bestFit="1" customWidth="1"/>
    <col min="18" max="18" width="12.42578125" style="78" customWidth="1"/>
    <col min="19" max="20" width="14.7109375" style="78" customWidth="1"/>
    <col min="21" max="16384" width="9.140625" style="78"/>
  </cols>
  <sheetData/>
  <printOptions horizontalCentered="1"/>
  <pageMargins left="0.23622047244094491" right="0.23622047244094491" top="0.74803149606299213" bottom="0.6692913385826772" header="0.31496062992125984" footer="0.31496062992125984"/>
  <pageSetup paperSize="9" scale="93" orientation="portrait" r:id="rId1"/>
  <headerFooter>
    <oddFooter>&amp;L&amp;"-,Regular"&amp;8Cleanaway Confidential</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V146"/>
  <sheetViews>
    <sheetView showGridLines="0" topLeftCell="A10" zoomScale="70" zoomScaleNormal="70" workbookViewId="0">
      <selection activeCell="B21" sqref="B21:C21"/>
    </sheetView>
  </sheetViews>
  <sheetFormatPr defaultRowHeight="14.45"/>
  <cols>
    <col min="1" max="1" width="45" style="3" bestFit="1" customWidth="1"/>
    <col min="2" max="2" width="22.85546875" style="3" customWidth="1"/>
    <col min="3" max="3" width="17.7109375" style="3" customWidth="1"/>
    <col min="4" max="4" width="17.28515625" style="3" customWidth="1"/>
    <col min="5" max="7" width="17.7109375" style="3" customWidth="1"/>
    <col min="8" max="8" width="20.7109375" style="3" customWidth="1"/>
    <col min="9" max="20" width="17.7109375" style="4" customWidth="1"/>
    <col min="21" max="261" width="9.140625" style="3"/>
    <col min="262" max="268" width="31" style="3" customWidth="1"/>
    <col min="269" max="517" width="9.140625" style="3"/>
    <col min="518" max="524" width="31" style="3" customWidth="1"/>
    <col min="525" max="773" width="9.140625" style="3"/>
    <col min="774" max="780" width="31" style="3" customWidth="1"/>
    <col min="781" max="1029" width="9.140625" style="3"/>
    <col min="1030" max="1036" width="31" style="3" customWidth="1"/>
    <col min="1037" max="1285" width="9.140625" style="3"/>
    <col min="1286" max="1292" width="31" style="3" customWidth="1"/>
    <col min="1293" max="1541" width="9.140625" style="3"/>
    <col min="1542" max="1548" width="31" style="3" customWidth="1"/>
    <col min="1549" max="1797" width="9.140625" style="3"/>
    <col min="1798" max="1804" width="31" style="3" customWidth="1"/>
    <col min="1805" max="2053" width="9.140625" style="3"/>
    <col min="2054" max="2060" width="31" style="3" customWidth="1"/>
    <col min="2061" max="2309" width="9.140625" style="3"/>
    <col min="2310" max="2316" width="31" style="3" customWidth="1"/>
    <col min="2317" max="2565" width="9.140625" style="3"/>
    <col min="2566" max="2572" width="31" style="3" customWidth="1"/>
    <col min="2573" max="2821" width="9.140625" style="3"/>
    <col min="2822" max="2828" width="31" style="3" customWidth="1"/>
    <col min="2829" max="3077" width="9.140625" style="3"/>
    <col min="3078" max="3084" width="31" style="3" customWidth="1"/>
    <col min="3085" max="3333" width="9.140625" style="3"/>
    <col min="3334" max="3340" width="31" style="3" customWidth="1"/>
    <col min="3341" max="3589" width="9.140625" style="3"/>
    <col min="3590" max="3596" width="31" style="3" customWidth="1"/>
    <col min="3597" max="3845" width="9.140625" style="3"/>
    <col min="3846" max="3852" width="31" style="3" customWidth="1"/>
    <col min="3853" max="4101" width="9.140625" style="3"/>
    <col min="4102" max="4108" width="31" style="3" customWidth="1"/>
    <col min="4109" max="4357" width="9.140625" style="3"/>
    <col min="4358" max="4364" width="31" style="3" customWidth="1"/>
    <col min="4365" max="4613" width="9.140625" style="3"/>
    <col min="4614" max="4620" width="31" style="3" customWidth="1"/>
    <col min="4621" max="4869" width="9.140625" style="3"/>
    <col min="4870" max="4876" width="31" style="3" customWidth="1"/>
    <col min="4877" max="5125" width="9.140625" style="3"/>
    <col min="5126" max="5132" width="31" style="3" customWidth="1"/>
    <col min="5133" max="5381" width="9.140625" style="3"/>
    <col min="5382" max="5388" width="31" style="3" customWidth="1"/>
    <col min="5389" max="5637" width="9.140625" style="3"/>
    <col min="5638" max="5644" width="31" style="3" customWidth="1"/>
    <col min="5645" max="5893" width="9.140625" style="3"/>
    <col min="5894" max="5900" width="31" style="3" customWidth="1"/>
    <col min="5901" max="6149" width="9.140625" style="3"/>
    <col min="6150" max="6156" width="31" style="3" customWidth="1"/>
    <col min="6157" max="6405" width="9.140625" style="3"/>
    <col min="6406" max="6412" width="31" style="3" customWidth="1"/>
    <col min="6413" max="6661" width="9.140625" style="3"/>
    <col min="6662" max="6668" width="31" style="3" customWidth="1"/>
    <col min="6669" max="6917" width="9.140625" style="3"/>
    <col min="6918" max="6924" width="31" style="3" customWidth="1"/>
    <col min="6925" max="7173" width="9.140625" style="3"/>
    <col min="7174" max="7180" width="31" style="3" customWidth="1"/>
    <col min="7181" max="7429" width="9.140625" style="3"/>
    <col min="7430" max="7436" width="31" style="3" customWidth="1"/>
    <col min="7437" max="7685" width="9.140625" style="3"/>
    <col min="7686" max="7692" width="31" style="3" customWidth="1"/>
    <col min="7693" max="7941" width="9.140625" style="3"/>
    <col min="7942" max="7948" width="31" style="3" customWidth="1"/>
    <col min="7949" max="8197" width="9.140625" style="3"/>
    <col min="8198" max="8204" width="31" style="3" customWidth="1"/>
    <col min="8205" max="8453" width="9.140625" style="3"/>
    <col min="8454" max="8460" width="31" style="3" customWidth="1"/>
    <col min="8461" max="8709" width="9.140625" style="3"/>
    <col min="8710" max="8716" width="31" style="3" customWidth="1"/>
    <col min="8717" max="8965" width="9.140625" style="3"/>
    <col min="8966" max="8972" width="31" style="3" customWidth="1"/>
    <col min="8973" max="9221" width="9.140625" style="3"/>
    <col min="9222" max="9228" width="31" style="3" customWidth="1"/>
    <col min="9229" max="9477" width="9.140625" style="3"/>
    <col min="9478" max="9484" width="31" style="3" customWidth="1"/>
    <col min="9485" max="9733" width="9.140625" style="3"/>
    <col min="9734" max="9740" width="31" style="3" customWidth="1"/>
    <col min="9741" max="9989" width="9.140625" style="3"/>
    <col min="9990" max="9996" width="31" style="3" customWidth="1"/>
    <col min="9997" max="10245" width="9.140625" style="3"/>
    <col min="10246" max="10252" width="31" style="3" customWidth="1"/>
    <col min="10253" max="10501" width="9.140625" style="3"/>
    <col min="10502" max="10508" width="31" style="3" customWidth="1"/>
    <col min="10509" max="10757" width="9.140625" style="3"/>
    <col min="10758" max="10764" width="31" style="3" customWidth="1"/>
    <col min="10765" max="11013" width="9.140625" style="3"/>
    <col min="11014" max="11020" width="31" style="3" customWidth="1"/>
    <col min="11021" max="11269" width="9.140625" style="3"/>
    <col min="11270" max="11276" width="31" style="3" customWidth="1"/>
    <col min="11277" max="11525" width="9.140625" style="3"/>
    <col min="11526" max="11532" width="31" style="3" customWidth="1"/>
    <col min="11533" max="11781" width="9.140625" style="3"/>
    <col min="11782" max="11788" width="31" style="3" customWidth="1"/>
    <col min="11789" max="12037" width="9.140625" style="3"/>
    <col min="12038" max="12044" width="31" style="3" customWidth="1"/>
    <col min="12045" max="12293" width="9.140625" style="3"/>
    <col min="12294" max="12300" width="31" style="3" customWidth="1"/>
    <col min="12301" max="12549" width="9.140625" style="3"/>
    <col min="12550" max="12556" width="31" style="3" customWidth="1"/>
    <col min="12557" max="12805" width="9.140625" style="3"/>
    <col min="12806" max="12812" width="31" style="3" customWidth="1"/>
    <col min="12813" max="13061" width="9.140625" style="3"/>
    <col min="13062" max="13068" width="31" style="3" customWidth="1"/>
    <col min="13069" max="13317" width="9.140625" style="3"/>
    <col min="13318" max="13324" width="31" style="3" customWidth="1"/>
    <col min="13325" max="13573" width="9.140625" style="3"/>
    <col min="13574" max="13580" width="31" style="3" customWidth="1"/>
    <col min="13581" max="13829" width="9.140625" style="3"/>
    <col min="13830" max="13836" width="31" style="3" customWidth="1"/>
    <col min="13837" max="14085" width="9.140625" style="3"/>
    <col min="14086" max="14092" width="31" style="3" customWidth="1"/>
    <col min="14093" max="14341" width="9.140625" style="3"/>
    <col min="14342" max="14348" width="31" style="3" customWidth="1"/>
    <col min="14349" max="14597" width="9.140625" style="3"/>
    <col min="14598" max="14604" width="31" style="3" customWidth="1"/>
    <col min="14605" max="14853" width="9.140625" style="3"/>
    <col min="14854" max="14860" width="31" style="3" customWidth="1"/>
    <col min="14861" max="15109" width="9.140625" style="3"/>
    <col min="15110" max="15116" width="31" style="3" customWidth="1"/>
    <col min="15117" max="15365" width="9.140625" style="3"/>
    <col min="15366" max="15372" width="31" style="3" customWidth="1"/>
    <col min="15373" max="15621" width="9.140625" style="3"/>
    <col min="15622" max="15628" width="31" style="3" customWidth="1"/>
    <col min="15629" max="15877" width="9.140625" style="3"/>
    <col min="15878" max="15884" width="31" style="3" customWidth="1"/>
    <col min="15885" max="16133" width="9.140625" style="3"/>
    <col min="16134" max="16140" width="31" style="3" customWidth="1"/>
    <col min="16141" max="16384" width="9.140625" style="3"/>
  </cols>
  <sheetData>
    <row r="1" spans="1:21" s="4" customFormat="1"/>
    <row r="2" spans="1:21" s="4" customFormat="1"/>
    <row r="3" spans="1:21" s="4" customFormat="1" ht="90.75" customHeight="1">
      <c r="A3" s="215" t="s">
        <v>0</v>
      </c>
      <c r="B3" s="215"/>
      <c r="C3" s="215"/>
      <c r="D3" s="215"/>
    </row>
    <row r="4" spans="1:21">
      <c r="A4" s="5" t="s">
        <v>1</v>
      </c>
      <c r="B4" s="4"/>
      <c r="C4" s="4"/>
      <c r="D4" s="4"/>
      <c r="E4" s="4"/>
      <c r="F4" s="4"/>
      <c r="G4" s="4"/>
      <c r="H4" s="4"/>
      <c r="U4" s="4"/>
    </row>
    <row r="5" spans="1:21">
      <c r="A5" s="5" t="s">
        <v>2</v>
      </c>
      <c r="B5" s="4"/>
      <c r="C5" s="4"/>
      <c r="D5" s="4"/>
      <c r="E5" s="4"/>
      <c r="F5" s="4"/>
      <c r="G5" s="4"/>
      <c r="H5" s="4"/>
      <c r="U5" s="4"/>
    </row>
    <row r="6" spans="1:21">
      <c r="A6" s="5"/>
      <c r="B6" s="4"/>
      <c r="C6" s="4"/>
      <c r="D6" s="4"/>
      <c r="E6" s="4"/>
      <c r="F6" s="4"/>
      <c r="G6" s="4"/>
      <c r="H6" s="4"/>
      <c r="U6" s="4"/>
    </row>
    <row r="7" spans="1:21">
      <c r="A7" s="6" t="s">
        <v>3</v>
      </c>
      <c r="B7" s="4"/>
      <c r="C7" s="4"/>
      <c r="D7" s="4"/>
      <c r="E7" s="4"/>
      <c r="F7" s="4"/>
      <c r="G7" s="4"/>
      <c r="H7" s="4"/>
      <c r="U7" s="4"/>
    </row>
    <row r="8" spans="1:21">
      <c r="A8" s="7" t="s">
        <v>4</v>
      </c>
      <c r="B8" s="7" t="s">
        <v>5</v>
      </c>
      <c r="C8" s="216" t="s">
        <v>6</v>
      </c>
      <c r="D8" s="216"/>
      <c r="E8" s="216"/>
      <c r="F8" s="216"/>
      <c r="G8" s="4"/>
      <c r="H8" s="4"/>
      <c r="U8" s="4"/>
    </row>
    <row r="9" spans="1:21">
      <c r="A9" s="8" t="s">
        <v>7</v>
      </c>
      <c r="B9" s="8" t="s">
        <v>8</v>
      </c>
      <c r="C9" s="217" t="s">
        <v>9</v>
      </c>
      <c r="D9" s="217"/>
      <c r="E9" s="217"/>
      <c r="F9" s="217"/>
      <c r="G9" s="4"/>
      <c r="H9" s="4"/>
      <c r="U9" s="4"/>
    </row>
    <row r="10" spans="1:21">
      <c r="A10" s="8" t="s">
        <v>10</v>
      </c>
      <c r="B10" s="8" t="s">
        <v>11</v>
      </c>
      <c r="C10" s="217" t="s">
        <v>12</v>
      </c>
      <c r="D10" s="217"/>
      <c r="E10" s="217"/>
      <c r="F10" s="217"/>
      <c r="G10" s="4"/>
      <c r="H10" s="4"/>
      <c r="U10" s="4"/>
    </row>
    <row r="11" spans="1:21">
      <c r="A11" s="8" t="s">
        <v>13</v>
      </c>
      <c r="B11" s="8" t="s">
        <v>14</v>
      </c>
      <c r="C11" s="217" t="s">
        <v>15</v>
      </c>
      <c r="D11" s="217"/>
      <c r="E11" s="217"/>
      <c r="F11" s="217"/>
      <c r="G11" s="4"/>
      <c r="H11" s="4"/>
      <c r="U11" s="4"/>
    </row>
    <row r="12" spans="1:21">
      <c r="A12" s="8"/>
      <c r="B12" s="8"/>
      <c r="C12" s="217"/>
      <c r="D12" s="217"/>
      <c r="E12" s="217"/>
      <c r="F12" s="217"/>
      <c r="G12" s="4"/>
      <c r="H12" s="4"/>
      <c r="U12" s="4"/>
    </row>
    <row r="13" spans="1:21">
      <c r="A13" s="8"/>
      <c r="B13" s="8"/>
      <c r="C13" s="218"/>
      <c r="D13" s="218"/>
      <c r="E13" s="218"/>
      <c r="F13" s="218"/>
      <c r="G13" s="4"/>
      <c r="H13" s="4"/>
      <c r="U13" s="4"/>
    </row>
    <row r="14" spans="1:21" ht="23.1">
      <c r="A14" s="5"/>
      <c r="B14" s="4"/>
      <c r="C14" s="4"/>
      <c r="E14" s="87" t="s">
        <v>16</v>
      </c>
      <c r="F14" s="87" t="s">
        <v>17</v>
      </c>
      <c r="G14" s="4"/>
      <c r="H14" s="4"/>
      <c r="U14" s="4"/>
    </row>
    <row r="15" spans="1:21" ht="23.45">
      <c r="A15" s="209" t="s">
        <v>18</v>
      </c>
      <c r="B15" s="210"/>
      <c r="C15" s="4"/>
      <c r="E15" s="146">
        <v>44440</v>
      </c>
      <c r="F15" s="146">
        <v>44440</v>
      </c>
      <c r="G15" s="207"/>
      <c r="H15" s="4"/>
      <c r="U15" s="4"/>
    </row>
    <row r="16" spans="1:21" ht="23.45">
      <c r="A16" s="224" t="s">
        <v>19</v>
      </c>
      <c r="B16" s="225"/>
      <c r="C16" s="4"/>
      <c r="E16" s="145">
        <v>44743</v>
      </c>
      <c r="F16" s="145">
        <v>44743</v>
      </c>
      <c r="G16" s="207"/>
      <c r="H16" s="4"/>
      <c r="U16" s="4"/>
    </row>
    <row r="17" spans="1:22" ht="15" thickBot="1">
      <c r="A17" s="4"/>
      <c r="B17" s="4"/>
      <c r="C17" s="4"/>
      <c r="E17" s="146">
        <f t="shared" ref="E17:F27" si="0">DATE(YEAR(E16),MONTH(E16)+1,DAY(E16))</f>
        <v>44774</v>
      </c>
      <c r="F17" s="146">
        <f t="shared" si="0"/>
        <v>44774</v>
      </c>
      <c r="G17" s="207"/>
      <c r="H17" s="4"/>
      <c r="U17" s="4"/>
    </row>
    <row r="18" spans="1:22" ht="23.45">
      <c r="A18" s="219" t="s">
        <v>20</v>
      </c>
      <c r="B18" s="220"/>
      <c r="C18" s="221"/>
      <c r="E18" s="146">
        <f t="shared" si="0"/>
        <v>44805</v>
      </c>
      <c r="F18" s="146">
        <f t="shared" si="0"/>
        <v>44805</v>
      </c>
      <c r="G18" s="9"/>
      <c r="H18" s="9"/>
      <c r="I18" s="9"/>
      <c r="J18" s="9"/>
      <c r="U18" s="4"/>
    </row>
    <row r="19" spans="1:22" ht="23.45">
      <c r="A19" s="10" t="s">
        <v>21</v>
      </c>
      <c r="B19" s="209" t="str">
        <f>CONCATENATE(A16,"  ",A15,"  ", TEXT(B21,"mmmm yyyy"))</f>
        <v>Rockhampton Grammer School  Consolidated Waste Report  January 2023</v>
      </c>
      <c r="C19" s="210"/>
      <c r="E19" s="146">
        <f t="shared" si="0"/>
        <v>44835</v>
      </c>
      <c r="F19" s="146">
        <f t="shared" si="0"/>
        <v>44835</v>
      </c>
      <c r="G19" s="9"/>
      <c r="H19" s="9"/>
      <c r="I19" s="9"/>
      <c r="J19" s="9"/>
      <c r="U19" s="4"/>
    </row>
    <row r="20" spans="1:22" ht="23.45">
      <c r="A20" s="10" t="s">
        <v>4</v>
      </c>
      <c r="B20" s="222">
        <f>B21</f>
        <v>44927</v>
      </c>
      <c r="C20" s="223"/>
      <c r="E20" s="146">
        <f t="shared" si="0"/>
        <v>44866</v>
      </c>
      <c r="F20" s="146">
        <f t="shared" si="0"/>
        <v>44866</v>
      </c>
      <c r="G20" s="9"/>
      <c r="H20" s="9"/>
      <c r="I20" s="9"/>
      <c r="J20" s="9"/>
      <c r="U20" s="4"/>
    </row>
    <row r="21" spans="1:22" ht="23.45">
      <c r="A21" s="10" t="s">
        <v>22</v>
      </c>
      <c r="B21" s="226">
        <v>44927</v>
      </c>
      <c r="C21" s="227"/>
      <c r="E21" s="146">
        <f t="shared" si="0"/>
        <v>44896</v>
      </c>
      <c r="F21" s="146">
        <f t="shared" si="0"/>
        <v>44896</v>
      </c>
      <c r="G21" s="9"/>
      <c r="H21" s="9"/>
      <c r="I21" s="9"/>
      <c r="J21" s="9"/>
      <c r="U21" s="4"/>
    </row>
    <row r="22" spans="1:22" ht="23.45">
      <c r="A22" s="10" t="s">
        <v>23</v>
      </c>
      <c r="B22" s="228">
        <f>DATE(YEAR(B21),MONTH(B21)-1,DAY(B21))</f>
        <v>44896</v>
      </c>
      <c r="C22" s="229"/>
      <c r="E22" s="146">
        <f t="shared" si="0"/>
        <v>44927</v>
      </c>
      <c r="F22" s="146">
        <f t="shared" si="0"/>
        <v>44927</v>
      </c>
      <c r="G22" s="9"/>
      <c r="H22" s="9"/>
      <c r="I22" s="9"/>
      <c r="J22" s="9"/>
      <c r="U22" s="4"/>
    </row>
    <row r="23" spans="1:22" ht="23.45">
      <c r="A23" s="10" t="s">
        <v>24</v>
      </c>
      <c r="B23" s="224" t="s">
        <v>25</v>
      </c>
      <c r="C23" s="225"/>
      <c r="E23" s="146">
        <f t="shared" si="0"/>
        <v>44958</v>
      </c>
      <c r="F23" s="146">
        <f t="shared" si="0"/>
        <v>44958</v>
      </c>
      <c r="G23" s="9"/>
      <c r="H23" s="9"/>
      <c r="I23" s="9"/>
      <c r="J23" s="9"/>
      <c r="U23" s="4"/>
    </row>
    <row r="24" spans="1:22">
      <c r="A24" s="11"/>
      <c r="B24" s="11" t="s">
        <v>26</v>
      </c>
      <c r="C24" s="12" t="s">
        <v>27</v>
      </c>
      <c r="E24" s="146">
        <f t="shared" si="0"/>
        <v>44986</v>
      </c>
      <c r="F24" s="146">
        <f t="shared" si="0"/>
        <v>44986</v>
      </c>
      <c r="G24" s="9"/>
      <c r="H24" s="9"/>
      <c r="I24" s="9"/>
      <c r="J24" s="9"/>
      <c r="U24" s="4"/>
    </row>
    <row r="25" spans="1:22" ht="28.5">
      <c r="A25" s="11" t="s">
        <v>28</v>
      </c>
      <c r="B25" s="140">
        <f>SUMIF('FYTD Tonnage vs Spend'!$B$5:$N$5,Calculations!$B$21,'FYTD Tonnage vs Spend'!$B$29:$N$29)</f>
        <v>0</v>
      </c>
      <c r="C25" s="140">
        <f>SUMIF('FYTD Tonnage vs Spend'!$B$5:$N$5,Calculations!$B$21,'FYTD Tonnage vs Spend'!$B$30:$N$30)</f>
        <v>0</v>
      </c>
      <c r="E25" s="146">
        <f t="shared" si="0"/>
        <v>45017</v>
      </c>
      <c r="F25" s="146">
        <f t="shared" si="0"/>
        <v>45017</v>
      </c>
      <c r="G25" s="9"/>
      <c r="H25" s="9"/>
      <c r="I25" s="9"/>
      <c r="J25" s="9"/>
    </row>
    <row r="26" spans="1:22" ht="28.5">
      <c r="A26" s="11" t="s">
        <v>29</v>
      </c>
      <c r="B26" s="13">
        <f>SUMIF('FYTD Tonnage vs Spend'!$B$5:$N$5,Calculations!$B$21,'FYTD Tonnage vs Spend'!$B$58:$N$58)</f>
        <v>0</v>
      </c>
      <c r="C26" s="13">
        <f>SUMIF('FYTD Tonnage vs Spend'!$B$5:$N$5,Calculations!$B$21,'FYTD Tonnage vs Spend'!$B$59:$N$59)</f>
        <v>0</v>
      </c>
      <c r="E26" s="146">
        <f t="shared" si="0"/>
        <v>45047</v>
      </c>
      <c r="F26" s="146">
        <f t="shared" si="0"/>
        <v>45047</v>
      </c>
      <c r="G26" s="9"/>
      <c r="H26" s="9"/>
      <c r="I26" s="9"/>
      <c r="J26" s="9"/>
    </row>
    <row r="27" spans="1:22" ht="28.5">
      <c r="A27" s="11" t="s">
        <v>30</v>
      </c>
      <c r="B27" s="140">
        <f>SUMIF('FYTD Tonnage vs Spend'!$B$5:$N$5,Calculations!$B$22,'FYTD Tonnage vs Spend'!$B$29:$N$29)</f>
        <v>0</v>
      </c>
      <c r="C27" s="140">
        <f>SUMIF('FYTD Tonnage vs Spend'!$B$5:$N$5,Calculations!$B$22,'FYTD Tonnage vs Spend'!$B$30:$N$30)</f>
        <v>0</v>
      </c>
      <c r="E27" s="146">
        <f t="shared" si="0"/>
        <v>45078</v>
      </c>
      <c r="F27" s="146">
        <f t="shared" si="0"/>
        <v>45078</v>
      </c>
      <c r="G27" s="9"/>
      <c r="H27" s="9"/>
      <c r="I27" s="9"/>
      <c r="J27" s="9"/>
    </row>
    <row r="28" spans="1:22" ht="28.5">
      <c r="A28" s="11" t="s">
        <v>31</v>
      </c>
      <c r="B28" s="137">
        <f>'FYTD Tonnage vs Spend'!O29</f>
        <v>0</v>
      </c>
      <c r="C28" s="137">
        <f>'FYTD Tonnage vs Spend'!O30</f>
        <v>0</v>
      </c>
      <c r="D28" s="4"/>
      <c r="E28" s="4"/>
      <c r="F28" s="9"/>
      <c r="G28" s="9"/>
      <c r="H28" s="9"/>
      <c r="I28" s="9"/>
      <c r="J28" s="9"/>
    </row>
    <row r="29" spans="1:22">
      <c r="A29" s="4"/>
      <c r="B29" s="4"/>
      <c r="C29" s="4"/>
      <c r="D29" s="4"/>
      <c r="E29" s="4"/>
      <c r="F29" s="9"/>
      <c r="G29" s="9"/>
      <c r="H29" s="9"/>
      <c r="I29" s="9"/>
      <c r="J29" s="9"/>
    </row>
    <row r="30" spans="1:22" ht="15" thickBot="1">
      <c r="A30" s="4"/>
      <c r="B30" s="4"/>
      <c r="C30" s="4"/>
      <c r="D30" s="4"/>
      <c r="E30" s="4"/>
      <c r="F30" s="4"/>
      <c r="G30" s="4"/>
      <c r="H30" s="4"/>
    </row>
    <row r="31" spans="1:22" ht="24" thickBot="1">
      <c r="A31" s="211" t="s">
        <v>32</v>
      </c>
      <c r="B31" s="214"/>
      <c r="C31" s="4"/>
      <c r="D31" s="4"/>
      <c r="E31" s="4"/>
      <c r="F31" s="4"/>
      <c r="G31" s="4"/>
      <c r="H31" s="4"/>
      <c r="U31" s="4"/>
      <c r="V31" s="4"/>
    </row>
    <row r="32" spans="1:22">
      <c r="A32" s="14" t="s">
        <v>33</v>
      </c>
      <c r="B32" s="15">
        <f>B28</f>
        <v>0</v>
      </c>
      <c r="C32" s="4"/>
      <c r="D32" s="4"/>
      <c r="E32" s="4"/>
      <c r="F32" s="4"/>
      <c r="G32" s="4"/>
      <c r="H32" s="4"/>
      <c r="U32" s="4"/>
      <c r="V32" s="4"/>
    </row>
    <row r="33" spans="1:22" ht="15.95" thickBot="1">
      <c r="A33" s="16" t="s">
        <v>34</v>
      </c>
      <c r="B33" s="17">
        <f>B32-C54</f>
        <v>0</v>
      </c>
      <c r="C33" s="18" t="s">
        <v>35</v>
      </c>
      <c r="D33" s="4"/>
      <c r="E33" s="4"/>
      <c r="F33" s="4"/>
      <c r="G33" s="4"/>
      <c r="H33" s="4"/>
      <c r="U33" s="4"/>
      <c r="V33" s="4"/>
    </row>
    <row r="34" spans="1:22" ht="15" thickBot="1">
      <c r="A34" s="19"/>
      <c r="B34" s="19"/>
      <c r="C34" s="19"/>
      <c r="D34" s="20"/>
      <c r="E34" s="4"/>
      <c r="F34" s="4"/>
      <c r="G34" s="4"/>
      <c r="H34" s="4"/>
      <c r="U34" s="4"/>
      <c r="V34" s="4"/>
    </row>
    <row r="35" spans="1:22" ht="29.25" customHeight="1" thickBot="1">
      <c r="A35" s="211" t="s">
        <v>36</v>
      </c>
      <c r="B35" s="212"/>
      <c r="C35" s="212"/>
      <c r="D35" s="212"/>
      <c r="E35" s="212"/>
      <c r="F35" s="212"/>
      <c r="G35" s="213"/>
      <c r="H35" s="4"/>
      <c r="U35" s="4"/>
      <c r="V35" s="4"/>
    </row>
    <row r="36" spans="1:22" ht="85.5" customHeight="1" thickBot="1">
      <c r="A36" s="21" t="s">
        <v>37</v>
      </c>
      <c r="B36" s="22" t="s">
        <v>38</v>
      </c>
      <c r="C36" s="23" t="s">
        <v>39</v>
      </c>
      <c r="D36" s="24" t="s">
        <v>40</v>
      </c>
      <c r="E36" s="24" t="s">
        <v>41</v>
      </c>
      <c r="F36" s="24" t="s">
        <v>42</v>
      </c>
      <c r="G36" s="25" t="s">
        <v>43</v>
      </c>
      <c r="H36" s="26" t="s">
        <v>44</v>
      </c>
      <c r="U36" s="4"/>
      <c r="V36" s="4"/>
    </row>
    <row r="37" spans="1:22">
      <c r="A37" s="27" t="s">
        <v>45</v>
      </c>
      <c r="B37" s="28">
        <f>(IF(C63="",B63,C63))*$B$33</f>
        <v>0</v>
      </c>
      <c r="C37" s="29"/>
      <c r="D37" s="30">
        <f t="shared" ref="D37:D53" si="1">(B37+C37)*1000*E84</f>
        <v>0</v>
      </c>
      <c r="E37" s="31">
        <f t="shared" ref="E37:E53" si="2">(B37+C37)*B84</f>
        <v>0</v>
      </c>
      <c r="F37" s="30">
        <f t="shared" ref="F37:F53" si="3">(B37+C37)*C84</f>
        <v>0</v>
      </c>
      <c r="G37" s="32">
        <f t="shared" ref="G37:G53" si="4">(B37+C37)*D84</f>
        <v>0</v>
      </c>
      <c r="H37" s="4"/>
      <c r="U37" s="4"/>
      <c r="V37" s="4"/>
    </row>
    <row r="38" spans="1:22">
      <c r="A38" s="27" t="s">
        <v>46</v>
      </c>
      <c r="B38" s="28">
        <f t="shared" ref="B38:B53" si="5">(IF(C64="",B64,C64))*$B$33</f>
        <v>0</v>
      </c>
      <c r="C38" s="29"/>
      <c r="D38" s="30">
        <f t="shared" si="1"/>
        <v>0</v>
      </c>
      <c r="E38" s="31">
        <f t="shared" si="2"/>
        <v>0</v>
      </c>
      <c r="F38" s="30">
        <f t="shared" si="3"/>
        <v>0</v>
      </c>
      <c r="G38" s="32">
        <f t="shared" si="4"/>
        <v>0</v>
      </c>
      <c r="H38" s="4"/>
      <c r="U38" s="4"/>
      <c r="V38" s="4"/>
    </row>
    <row r="39" spans="1:22">
      <c r="A39" s="27" t="s">
        <v>47</v>
      </c>
      <c r="B39" s="28">
        <f t="shared" si="5"/>
        <v>0</v>
      </c>
      <c r="C39" s="29"/>
      <c r="D39" s="30">
        <f t="shared" si="1"/>
        <v>0</v>
      </c>
      <c r="E39" s="31">
        <f t="shared" si="2"/>
        <v>0</v>
      </c>
      <c r="F39" s="30">
        <f t="shared" si="3"/>
        <v>0</v>
      </c>
      <c r="G39" s="32">
        <f t="shared" si="4"/>
        <v>0</v>
      </c>
      <c r="H39" s="4"/>
      <c r="U39" s="4"/>
      <c r="V39" s="4"/>
    </row>
    <row r="40" spans="1:22">
      <c r="A40" s="27" t="s">
        <v>48</v>
      </c>
      <c r="B40" s="28">
        <f t="shared" si="5"/>
        <v>0</v>
      </c>
      <c r="C40" s="29"/>
      <c r="D40" s="30">
        <f t="shared" si="1"/>
        <v>0</v>
      </c>
      <c r="E40" s="31">
        <f t="shared" si="2"/>
        <v>0</v>
      </c>
      <c r="F40" s="30">
        <f t="shared" si="3"/>
        <v>0</v>
      </c>
      <c r="G40" s="32">
        <f t="shared" si="4"/>
        <v>0</v>
      </c>
      <c r="H40" s="4"/>
      <c r="U40" s="4"/>
      <c r="V40" s="4"/>
    </row>
    <row r="41" spans="1:22">
      <c r="A41" s="27" t="s">
        <v>49</v>
      </c>
      <c r="B41" s="28">
        <f t="shared" si="5"/>
        <v>0</v>
      </c>
      <c r="C41" s="29"/>
      <c r="D41" s="30">
        <f t="shared" si="1"/>
        <v>0</v>
      </c>
      <c r="E41" s="31">
        <f t="shared" si="2"/>
        <v>0</v>
      </c>
      <c r="F41" s="30">
        <f t="shared" si="3"/>
        <v>0</v>
      </c>
      <c r="G41" s="32">
        <f t="shared" si="4"/>
        <v>0</v>
      </c>
      <c r="H41" s="4"/>
      <c r="U41" s="4"/>
      <c r="V41" s="4"/>
    </row>
    <row r="42" spans="1:22">
      <c r="A42" s="27" t="s">
        <v>50</v>
      </c>
      <c r="B42" s="28">
        <f t="shared" si="5"/>
        <v>0</v>
      </c>
      <c r="C42" s="29"/>
      <c r="D42" s="30">
        <f t="shared" si="1"/>
        <v>0</v>
      </c>
      <c r="E42" s="31">
        <f t="shared" si="2"/>
        <v>0</v>
      </c>
      <c r="F42" s="30">
        <f t="shared" si="3"/>
        <v>0</v>
      </c>
      <c r="G42" s="32">
        <f t="shared" si="4"/>
        <v>0</v>
      </c>
      <c r="H42" s="4"/>
      <c r="U42" s="4"/>
      <c r="V42" s="4"/>
    </row>
    <row r="43" spans="1:22">
      <c r="A43" s="27" t="s">
        <v>51</v>
      </c>
      <c r="B43" s="28">
        <f t="shared" si="5"/>
        <v>0</v>
      </c>
      <c r="C43" s="29"/>
      <c r="D43" s="30">
        <f t="shared" si="1"/>
        <v>0</v>
      </c>
      <c r="E43" s="31">
        <f t="shared" si="2"/>
        <v>0</v>
      </c>
      <c r="F43" s="30">
        <f t="shared" si="3"/>
        <v>0</v>
      </c>
      <c r="G43" s="32">
        <f t="shared" si="4"/>
        <v>0</v>
      </c>
      <c r="H43" s="4"/>
      <c r="U43" s="4"/>
      <c r="V43" s="4"/>
    </row>
    <row r="44" spans="1:22">
      <c r="A44" s="27" t="s">
        <v>52</v>
      </c>
      <c r="B44" s="28">
        <f t="shared" si="5"/>
        <v>0</v>
      </c>
      <c r="C44" s="29"/>
      <c r="D44" s="30">
        <f t="shared" si="1"/>
        <v>0</v>
      </c>
      <c r="E44" s="31">
        <f t="shared" si="2"/>
        <v>0</v>
      </c>
      <c r="F44" s="30">
        <f t="shared" si="3"/>
        <v>0</v>
      </c>
      <c r="G44" s="32">
        <f t="shared" si="4"/>
        <v>0</v>
      </c>
      <c r="H44" s="4"/>
      <c r="K44" s="33"/>
      <c r="U44" s="4"/>
      <c r="V44" s="4"/>
    </row>
    <row r="45" spans="1:22">
      <c r="A45" s="27" t="s">
        <v>53</v>
      </c>
      <c r="B45" s="28">
        <f t="shared" si="5"/>
        <v>0</v>
      </c>
      <c r="C45" s="29"/>
      <c r="D45" s="30">
        <f t="shared" si="1"/>
        <v>0</v>
      </c>
      <c r="E45" s="31">
        <f t="shared" si="2"/>
        <v>0</v>
      </c>
      <c r="F45" s="30">
        <f t="shared" si="3"/>
        <v>0</v>
      </c>
      <c r="G45" s="32">
        <f t="shared" si="4"/>
        <v>0</v>
      </c>
      <c r="H45" s="4"/>
      <c r="K45" s="33"/>
      <c r="U45" s="4"/>
      <c r="V45" s="4"/>
    </row>
    <row r="46" spans="1:22">
      <c r="A46" s="27" t="s">
        <v>54</v>
      </c>
      <c r="B46" s="28">
        <f t="shared" si="5"/>
        <v>0</v>
      </c>
      <c r="C46" s="29"/>
      <c r="D46" s="30">
        <f t="shared" si="1"/>
        <v>0</v>
      </c>
      <c r="E46" s="31">
        <f t="shared" si="2"/>
        <v>0</v>
      </c>
      <c r="F46" s="30">
        <f t="shared" si="3"/>
        <v>0</v>
      </c>
      <c r="G46" s="32">
        <f t="shared" si="4"/>
        <v>0</v>
      </c>
      <c r="H46" s="4"/>
      <c r="K46" s="33"/>
      <c r="U46" s="4"/>
      <c r="V46" s="4"/>
    </row>
    <row r="47" spans="1:22">
      <c r="A47" s="27" t="s">
        <v>55</v>
      </c>
      <c r="B47" s="28">
        <f t="shared" si="5"/>
        <v>0</v>
      </c>
      <c r="C47" s="29"/>
      <c r="D47" s="30">
        <f t="shared" si="1"/>
        <v>0</v>
      </c>
      <c r="E47" s="31">
        <f t="shared" si="2"/>
        <v>0</v>
      </c>
      <c r="F47" s="30">
        <f t="shared" si="3"/>
        <v>0</v>
      </c>
      <c r="G47" s="32">
        <f t="shared" si="4"/>
        <v>0</v>
      </c>
      <c r="H47" s="4"/>
      <c r="K47" s="33"/>
      <c r="U47" s="4"/>
      <c r="V47" s="4"/>
    </row>
    <row r="48" spans="1:22">
      <c r="A48" s="27" t="s">
        <v>56</v>
      </c>
      <c r="B48" s="28">
        <f t="shared" si="5"/>
        <v>0</v>
      </c>
      <c r="C48" s="29"/>
      <c r="D48" s="30">
        <f t="shared" si="1"/>
        <v>0</v>
      </c>
      <c r="E48" s="31">
        <f t="shared" si="2"/>
        <v>0</v>
      </c>
      <c r="F48" s="30">
        <f t="shared" si="3"/>
        <v>0</v>
      </c>
      <c r="G48" s="32">
        <f t="shared" si="4"/>
        <v>0</v>
      </c>
      <c r="H48" s="4"/>
      <c r="K48" s="33"/>
      <c r="U48" s="4"/>
      <c r="V48" s="4"/>
    </row>
    <row r="49" spans="1:22">
      <c r="A49" s="27" t="s">
        <v>57</v>
      </c>
      <c r="B49" s="28">
        <f t="shared" si="5"/>
        <v>0</v>
      </c>
      <c r="C49" s="29"/>
      <c r="D49" s="30">
        <f t="shared" si="1"/>
        <v>0</v>
      </c>
      <c r="E49" s="31">
        <f t="shared" si="2"/>
        <v>0</v>
      </c>
      <c r="F49" s="30">
        <f t="shared" si="3"/>
        <v>0</v>
      </c>
      <c r="G49" s="32">
        <f t="shared" si="4"/>
        <v>0</v>
      </c>
      <c r="H49" s="4"/>
      <c r="K49" s="33"/>
      <c r="U49" s="4"/>
      <c r="V49" s="4"/>
    </row>
    <row r="50" spans="1:22">
      <c r="A50" s="27" t="s">
        <v>58</v>
      </c>
      <c r="B50" s="28">
        <f t="shared" si="5"/>
        <v>0</v>
      </c>
      <c r="C50" s="29"/>
      <c r="D50" s="30">
        <f t="shared" si="1"/>
        <v>0</v>
      </c>
      <c r="E50" s="31">
        <f t="shared" si="2"/>
        <v>0</v>
      </c>
      <c r="F50" s="30">
        <f t="shared" si="3"/>
        <v>0</v>
      </c>
      <c r="G50" s="32">
        <f t="shared" si="4"/>
        <v>0</v>
      </c>
      <c r="H50" s="4"/>
      <c r="K50" s="33"/>
      <c r="U50" s="4"/>
      <c r="V50" s="4"/>
    </row>
    <row r="51" spans="1:22">
      <c r="A51" s="27"/>
      <c r="B51" s="28">
        <f t="shared" si="5"/>
        <v>0</v>
      </c>
      <c r="C51" s="29"/>
      <c r="D51" s="30">
        <f t="shared" si="1"/>
        <v>0</v>
      </c>
      <c r="E51" s="31">
        <f t="shared" si="2"/>
        <v>0</v>
      </c>
      <c r="F51" s="30">
        <f t="shared" si="3"/>
        <v>0</v>
      </c>
      <c r="G51" s="32">
        <f t="shared" si="4"/>
        <v>0</v>
      </c>
      <c r="H51" s="4"/>
      <c r="U51" s="4"/>
      <c r="V51" s="4"/>
    </row>
    <row r="52" spans="1:22">
      <c r="A52" s="27"/>
      <c r="B52" s="28">
        <f t="shared" si="5"/>
        <v>0</v>
      </c>
      <c r="C52" s="29"/>
      <c r="D52" s="30">
        <f t="shared" si="1"/>
        <v>0</v>
      </c>
      <c r="E52" s="31">
        <f t="shared" si="2"/>
        <v>0</v>
      </c>
      <c r="F52" s="30">
        <f t="shared" si="3"/>
        <v>0</v>
      </c>
      <c r="G52" s="32">
        <f t="shared" si="4"/>
        <v>0</v>
      </c>
      <c r="H52" s="4"/>
      <c r="U52" s="4"/>
      <c r="V52" s="4"/>
    </row>
    <row r="53" spans="1:22" ht="15" thickBot="1">
      <c r="A53" s="34"/>
      <c r="B53" s="35">
        <f t="shared" si="5"/>
        <v>0</v>
      </c>
      <c r="C53" s="36"/>
      <c r="D53" s="37">
        <f t="shared" si="1"/>
        <v>0</v>
      </c>
      <c r="E53" s="38">
        <f t="shared" si="2"/>
        <v>0</v>
      </c>
      <c r="F53" s="37">
        <f t="shared" si="3"/>
        <v>0</v>
      </c>
      <c r="G53" s="39">
        <f t="shared" si="4"/>
        <v>0</v>
      </c>
      <c r="H53" s="4"/>
      <c r="U53" s="4"/>
      <c r="V53" s="4"/>
    </row>
    <row r="54" spans="1:22" ht="15" thickBot="1">
      <c r="A54" s="40" t="s">
        <v>59</v>
      </c>
      <c r="B54" s="41">
        <f t="shared" ref="B54:G54" si="6">SUM(B37:B45)</f>
        <v>0</v>
      </c>
      <c r="C54" s="41">
        <f t="shared" si="6"/>
        <v>0</v>
      </c>
      <c r="D54" s="41">
        <f t="shared" si="6"/>
        <v>0</v>
      </c>
      <c r="E54" s="41">
        <f t="shared" si="6"/>
        <v>0</v>
      </c>
      <c r="F54" s="41">
        <f t="shared" si="6"/>
        <v>0</v>
      </c>
      <c r="G54" s="42">
        <f t="shared" si="6"/>
        <v>0</v>
      </c>
      <c r="H54" s="4"/>
      <c r="U54" s="4"/>
      <c r="V54" s="4"/>
    </row>
    <row r="55" spans="1:22" hidden="1">
      <c r="A55" s="19"/>
      <c r="B55" s="19"/>
      <c r="C55" s="19"/>
      <c r="D55" s="19"/>
      <c r="E55" s="43" t="s">
        <v>60</v>
      </c>
      <c r="F55" s="44" t="s">
        <v>61</v>
      </c>
      <c r="G55" s="45" t="s">
        <v>62</v>
      </c>
      <c r="H55" s="4"/>
      <c r="U55" s="4"/>
      <c r="V55" s="4"/>
    </row>
    <row r="56" spans="1:22" ht="15" hidden="1" thickBot="1">
      <c r="A56" s="19"/>
      <c r="B56" s="19"/>
      <c r="C56" s="19"/>
      <c r="D56" s="19"/>
      <c r="E56" s="46">
        <f>E54/5.1</f>
        <v>0</v>
      </c>
      <c r="F56" s="47">
        <f>F54*10^9*2.778*10^-7/6000</f>
        <v>0</v>
      </c>
      <c r="G56" s="48">
        <f>G54*1000*1/(3075/12)/365</f>
        <v>0</v>
      </c>
      <c r="H56" s="4"/>
      <c r="U56" s="4"/>
      <c r="V56" s="4"/>
    </row>
    <row r="57" spans="1:22">
      <c r="A57" s="19"/>
      <c r="B57" s="19"/>
      <c r="C57" s="19"/>
      <c r="D57" s="19"/>
      <c r="E57" s="4"/>
      <c r="F57" s="4"/>
      <c r="G57" s="4"/>
      <c r="H57" s="4"/>
      <c r="U57" s="4"/>
      <c r="V57" s="4"/>
    </row>
    <row r="58" spans="1:22">
      <c r="A58" s="4"/>
      <c r="B58" s="4"/>
      <c r="C58" s="4"/>
      <c r="D58" s="4"/>
      <c r="E58" s="4"/>
      <c r="F58" s="4"/>
      <c r="G58" s="4"/>
      <c r="H58" s="4"/>
      <c r="U58" s="4"/>
      <c r="V58" s="4"/>
    </row>
    <row r="59" spans="1:22" ht="15" thickBot="1">
      <c r="A59" s="4"/>
      <c r="B59" s="4"/>
      <c r="C59" s="4"/>
      <c r="D59" s="4"/>
      <c r="E59" s="4"/>
      <c r="F59" s="4"/>
      <c r="G59" s="4"/>
      <c r="H59" s="4"/>
      <c r="U59" s="4"/>
      <c r="V59" s="4"/>
    </row>
    <row r="60" spans="1:22" ht="24" thickBot="1">
      <c r="A60" s="211" t="s">
        <v>63</v>
      </c>
      <c r="B60" s="231"/>
      <c r="C60" s="214"/>
      <c r="D60" s="4"/>
      <c r="E60" s="4"/>
      <c r="F60" s="4"/>
      <c r="G60" s="4"/>
      <c r="H60" s="4"/>
      <c r="U60" s="4"/>
      <c r="V60" s="4"/>
    </row>
    <row r="61" spans="1:22" ht="15" thickBot="1">
      <c r="A61" s="22" t="s">
        <v>64</v>
      </c>
      <c r="B61" s="232" t="s">
        <v>65</v>
      </c>
      <c r="C61" s="233"/>
      <c r="D61" s="4"/>
      <c r="E61" s="4"/>
      <c r="F61" s="4"/>
      <c r="G61" s="4"/>
      <c r="H61" s="4"/>
      <c r="U61" s="4"/>
      <c r="V61" s="4"/>
    </row>
    <row r="62" spans="1:22" ht="15" thickBot="1">
      <c r="A62" s="21"/>
      <c r="B62" s="22" t="s">
        <v>66</v>
      </c>
      <c r="C62" s="49" t="s">
        <v>67</v>
      </c>
      <c r="D62" s="4"/>
      <c r="E62" s="4"/>
      <c r="F62" s="4"/>
      <c r="G62" s="4"/>
      <c r="H62" s="4"/>
      <c r="U62" s="4"/>
      <c r="V62" s="4"/>
    </row>
    <row r="63" spans="1:22" ht="15" customHeight="1">
      <c r="A63" s="50" t="s">
        <v>45</v>
      </c>
      <c r="B63" s="51">
        <f>VLOOKUP($B$61,$A$106:$S$121,2,FALSE)</f>
        <v>0.64719599999999999</v>
      </c>
      <c r="C63" s="52"/>
      <c r="D63" s="234" t="s">
        <v>68</v>
      </c>
      <c r="E63" s="215"/>
      <c r="F63" s="4"/>
      <c r="G63" s="4"/>
      <c r="H63" s="4"/>
      <c r="U63" s="4"/>
      <c r="V63" s="4"/>
    </row>
    <row r="64" spans="1:22">
      <c r="A64" s="50" t="s">
        <v>46</v>
      </c>
      <c r="B64" s="51">
        <f>VLOOKUP($B$61,$A$106:$S$121,3,FALSE)</f>
        <v>1.818E-3</v>
      </c>
      <c r="C64" s="52"/>
      <c r="D64" s="234"/>
      <c r="E64" s="215"/>
      <c r="F64" s="4"/>
      <c r="G64" s="4"/>
      <c r="H64" s="4"/>
      <c r="U64" s="4"/>
      <c r="V64" s="4"/>
    </row>
    <row r="65" spans="1:22">
      <c r="A65" s="50" t="s">
        <v>47</v>
      </c>
      <c r="B65" s="51">
        <f>VLOOKUP($B$61,$A$106:$S$121,4,FALSE)</f>
        <v>0.27341300000000002</v>
      </c>
      <c r="C65" s="52"/>
      <c r="D65" s="234"/>
      <c r="E65" s="215"/>
      <c r="F65" s="4"/>
      <c r="G65" s="4"/>
      <c r="H65" s="4"/>
      <c r="U65" s="4"/>
      <c r="V65" s="4"/>
    </row>
    <row r="66" spans="1:22">
      <c r="A66" s="50" t="s">
        <v>48</v>
      </c>
      <c r="B66" s="51">
        <f>VLOOKUP($B$61,$A$106:$S$121,5,FALSE)</f>
        <v>4.9630000000000004E-3</v>
      </c>
      <c r="C66" s="52"/>
      <c r="D66" s="234"/>
      <c r="E66" s="215"/>
      <c r="F66" s="4"/>
      <c r="G66" s="4"/>
      <c r="H66" s="4"/>
      <c r="U66" s="4"/>
      <c r="V66" s="4"/>
    </row>
    <row r="67" spans="1:22">
      <c r="A67" s="50" t="s">
        <v>49</v>
      </c>
      <c r="B67" s="51">
        <f>VLOOKUP($B$61,$A$106:$S$121,6,FALSE)</f>
        <v>2.6641999999999999E-2</v>
      </c>
      <c r="C67" s="52"/>
      <c r="D67" s="234"/>
      <c r="E67" s="215"/>
      <c r="F67" s="4"/>
      <c r="G67" s="4"/>
      <c r="H67" s="4"/>
      <c r="U67" s="4"/>
      <c r="V67" s="4"/>
    </row>
    <row r="68" spans="1:22">
      <c r="A68" s="50" t="s">
        <v>50</v>
      </c>
      <c r="B68" s="51">
        <f>VLOOKUP($B$61,$A$106:$S$121,7,FALSE)</f>
        <v>1.7728000000000001E-2</v>
      </c>
      <c r="C68" s="52"/>
      <c r="D68" s="234"/>
      <c r="E68" s="215"/>
      <c r="F68" s="4"/>
      <c r="G68" s="4"/>
      <c r="H68" s="4"/>
      <c r="U68" s="4"/>
      <c r="V68" s="4"/>
    </row>
    <row r="69" spans="1:22">
      <c r="A69" s="50" t="s">
        <v>51</v>
      </c>
      <c r="B69" s="51">
        <f>VLOOKUP($B$61,$A$106:$S$121,8,FALSE)</f>
        <v>2.8239E-2</v>
      </c>
      <c r="C69" s="52"/>
      <c r="D69" s="234"/>
      <c r="E69" s="215"/>
      <c r="F69" s="4"/>
      <c r="G69" s="4"/>
      <c r="H69" s="4"/>
      <c r="U69" s="4"/>
      <c r="V69" s="4"/>
    </row>
    <row r="70" spans="1:22">
      <c r="A70" s="50" t="s">
        <v>52</v>
      </c>
      <c r="B70" s="51">
        <f>VLOOKUP($B$61,$A$106:$S$121,9,FALSE)</f>
        <v>0</v>
      </c>
      <c r="C70" s="52"/>
      <c r="D70" s="4"/>
      <c r="E70" s="4"/>
      <c r="F70" s="4"/>
      <c r="G70" s="4"/>
      <c r="H70" s="4"/>
      <c r="U70" s="4"/>
      <c r="V70" s="4"/>
    </row>
    <row r="71" spans="1:22">
      <c r="A71" s="50" t="s">
        <v>53</v>
      </c>
      <c r="B71" s="51">
        <f>VLOOKUP($B$61,$A$106:$S$121,10,FALSE)</f>
        <v>0</v>
      </c>
      <c r="C71" s="53"/>
      <c r="D71" s="4"/>
      <c r="E71" s="4"/>
      <c r="F71" s="4"/>
      <c r="G71" s="4"/>
      <c r="H71" s="4"/>
      <c r="U71" s="4"/>
      <c r="V71" s="4"/>
    </row>
    <row r="72" spans="1:22">
      <c r="A72" s="50" t="s">
        <v>54</v>
      </c>
      <c r="B72" s="51">
        <f>VLOOKUP($B$61,$A$106:$S$121,11,FALSE)</f>
        <v>0</v>
      </c>
      <c r="C72" s="53"/>
      <c r="D72" s="4"/>
      <c r="E72" s="4"/>
      <c r="F72" s="4"/>
      <c r="G72" s="4"/>
      <c r="H72" s="4"/>
      <c r="U72" s="4"/>
      <c r="V72" s="4"/>
    </row>
    <row r="73" spans="1:22">
      <c r="A73" s="50" t="s">
        <v>55</v>
      </c>
      <c r="B73" s="51">
        <f>VLOOKUP($B$61,$A$106:$S$121,12,FALSE)</f>
        <v>0</v>
      </c>
      <c r="C73" s="53"/>
      <c r="D73" s="4"/>
      <c r="E73" s="4"/>
      <c r="F73" s="4"/>
      <c r="G73" s="4"/>
      <c r="H73" s="4"/>
      <c r="U73" s="4"/>
      <c r="V73" s="4"/>
    </row>
    <row r="74" spans="1:22">
      <c r="A74" s="50" t="s">
        <v>56</v>
      </c>
      <c r="B74" s="51">
        <f>VLOOKUP($B$61,$A$106:$S$121,13,FALSE)</f>
        <v>0</v>
      </c>
      <c r="C74" s="53"/>
      <c r="D74" s="4"/>
      <c r="E74" s="4"/>
      <c r="F74" s="4"/>
      <c r="G74" s="4"/>
      <c r="H74" s="4"/>
      <c r="U74" s="4"/>
      <c r="V74" s="4"/>
    </row>
    <row r="75" spans="1:22">
      <c r="A75" s="50" t="s">
        <v>57</v>
      </c>
      <c r="B75" s="51">
        <f>VLOOKUP($B$61,$A$106:$S$121,14,FALSE)</f>
        <v>0</v>
      </c>
      <c r="C75" s="53"/>
      <c r="D75" s="4"/>
      <c r="E75" s="4"/>
      <c r="F75" s="4"/>
      <c r="G75" s="4"/>
      <c r="H75" s="4"/>
      <c r="U75" s="4"/>
      <c r="V75" s="4"/>
    </row>
    <row r="76" spans="1:22">
      <c r="A76" s="50" t="s">
        <v>58</v>
      </c>
      <c r="B76" s="51">
        <f>VLOOKUP($B$61,$A$106:$S$121,15,FALSE)</f>
        <v>0</v>
      </c>
      <c r="C76" s="53"/>
      <c r="D76" s="4"/>
      <c r="E76" s="4"/>
      <c r="F76" s="4"/>
      <c r="G76" s="4"/>
      <c r="H76" s="4"/>
      <c r="U76" s="4"/>
      <c r="V76" s="4"/>
    </row>
    <row r="77" spans="1:22">
      <c r="A77" s="50">
        <f>A98</f>
        <v>0</v>
      </c>
      <c r="B77" s="51">
        <f>VLOOKUP($B$61,$A$106:$S$121,16,FALSE)</f>
        <v>0</v>
      </c>
      <c r="C77" s="53"/>
      <c r="D77" s="4"/>
      <c r="E77" s="4"/>
      <c r="F77" s="4"/>
      <c r="G77" s="4"/>
      <c r="H77" s="4"/>
      <c r="U77" s="4"/>
      <c r="V77" s="4"/>
    </row>
    <row r="78" spans="1:22">
      <c r="A78" s="50">
        <f>A99</f>
        <v>0</v>
      </c>
      <c r="B78" s="51">
        <f>VLOOKUP($B$61,$A$106:$S$121,17,FALSE)</f>
        <v>0</v>
      </c>
      <c r="C78" s="53"/>
      <c r="D78" s="4"/>
      <c r="E78" s="4"/>
      <c r="F78" s="4"/>
      <c r="G78" s="4"/>
      <c r="H78" s="4"/>
      <c r="U78" s="4"/>
      <c r="V78" s="4"/>
    </row>
    <row r="79" spans="1:22" ht="15" thickBot="1">
      <c r="A79" s="54">
        <f>A100</f>
        <v>0</v>
      </c>
      <c r="B79" s="55">
        <f>VLOOKUP($B$61,$A$106:$S$121,18,FALSE)</f>
        <v>0</v>
      </c>
      <c r="C79" s="56"/>
      <c r="D79" s="4"/>
      <c r="E79" s="4"/>
      <c r="F79" s="4"/>
      <c r="G79" s="4"/>
      <c r="H79" s="4"/>
      <c r="U79" s="4"/>
      <c r="V79" s="4"/>
    </row>
    <row r="80" spans="1:22">
      <c r="A80" s="4"/>
      <c r="B80" s="4"/>
      <c r="C80" s="4"/>
      <c r="D80" s="4"/>
      <c r="E80" s="4"/>
      <c r="F80" s="4"/>
      <c r="G80" s="4"/>
      <c r="H80" s="4"/>
      <c r="U80" s="4"/>
      <c r="V80" s="4"/>
    </row>
    <row r="81" spans="1:22" hidden="1">
      <c r="A81" s="4"/>
      <c r="B81" s="4"/>
      <c r="C81" s="4"/>
      <c r="D81" s="4"/>
      <c r="E81" s="4"/>
      <c r="F81" s="4"/>
      <c r="G81" s="4"/>
      <c r="H81" s="4"/>
      <c r="U81" s="4"/>
      <c r="V81" s="4"/>
    </row>
    <row r="82" spans="1:22" ht="24" hidden="1" thickBot="1">
      <c r="A82" s="211" t="s">
        <v>69</v>
      </c>
      <c r="B82" s="212"/>
      <c r="C82" s="212"/>
      <c r="D82" s="212"/>
      <c r="E82" s="213"/>
      <c r="F82" s="4"/>
      <c r="G82" s="4"/>
      <c r="H82" s="4"/>
      <c r="U82" s="4"/>
      <c r="V82" s="4"/>
    </row>
    <row r="83" spans="1:22" ht="44.1" hidden="1" thickBot="1">
      <c r="A83" s="57"/>
      <c r="B83" s="58" t="s">
        <v>70</v>
      </c>
      <c r="C83" s="59" t="s">
        <v>71</v>
      </c>
      <c r="D83" s="57" t="s">
        <v>72</v>
      </c>
      <c r="E83" s="60" t="s">
        <v>73</v>
      </c>
      <c r="F83" s="4"/>
      <c r="G83" s="4"/>
      <c r="H83" s="4"/>
      <c r="U83" s="4"/>
      <c r="V83" s="4"/>
    </row>
    <row r="84" spans="1:22" hidden="1">
      <c r="A84" s="27" t="s">
        <v>45</v>
      </c>
      <c r="B84" s="61">
        <v>0.62</v>
      </c>
      <c r="C84" s="61">
        <v>10.039999999999999</v>
      </c>
      <c r="D84" s="61">
        <v>26.85</v>
      </c>
      <c r="E84" s="62">
        <v>6.8999999999999997E-4</v>
      </c>
      <c r="F84" s="4"/>
      <c r="G84" s="4"/>
      <c r="H84" s="4"/>
      <c r="U84" s="4"/>
      <c r="V84" s="4"/>
    </row>
    <row r="85" spans="1:22" hidden="1">
      <c r="A85" s="27" t="s">
        <v>46</v>
      </c>
      <c r="B85" s="61">
        <v>-0.3</v>
      </c>
      <c r="C85" s="61">
        <v>-3.22</v>
      </c>
      <c r="D85" s="61">
        <v>8.66</v>
      </c>
      <c r="E85" s="62">
        <v>3.1E-4</v>
      </c>
      <c r="F85" s="4"/>
      <c r="G85" s="4"/>
      <c r="H85" s="4"/>
      <c r="U85" s="4"/>
      <c r="V85" s="4"/>
    </row>
    <row r="86" spans="1:22" hidden="1">
      <c r="A86" s="27" t="s">
        <v>47</v>
      </c>
      <c r="B86" s="61">
        <v>5.8999999999999997E-2</v>
      </c>
      <c r="C86" s="61">
        <v>6.46</v>
      </c>
      <c r="D86" s="61">
        <v>2.37</v>
      </c>
      <c r="E86" s="62">
        <v>9.6999999999999994E-4</v>
      </c>
      <c r="F86" s="4"/>
      <c r="G86" s="4"/>
      <c r="H86" s="4"/>
      <c r="U86" s="4"/>
      <c r="V86" s="4"/>
    </row>
    <row r="87" spans="1:22" hidden="1">
      <c r="A87" s="27" t="s">
        <v>48</v>
      </c>
      <c r="B87" s="61">
        <v>17.72</v>
      </c>
      <c r="C87" s="61">
        <v>191.42</v>
      </c>
      <c r="D87" s="61">
        <v>202.03</v>
      </c>
      <c r="E87" s="62">
        <v>1.56E-3</v>
      </c>
      <c r="F87" s="4"/>
      <c r="G87" s="4"/>
      <c r="H87" s="4"/>
      <c r="U87" s="4"/>
      <c r="V87" s="4"/>
    </row>
    <row r="88" spans="1:22" hidden="1">
      <c r="A88" s="27" t="s">
        <v>49</v>
      </c>
      <c r="B88" s="61">
        <v>0.6</v>
      </c>
      <c r="C88" s="61">
        <v>30.09</v>
      </c>
      <c r="D88" s="61">
        <v>8.24</v>
      </c>
      <c r="E88" s="62">
        <v>1E-3</v>
      </c>
      <c r="F88" s="4"/>
      <c r="G88" s="4"/>
      <c r="H88" s="4"/>
      <c r="U88" s="4"/>
      <c r="V88" s="4"/>
    </row>
    <row r="89" spans="1:22" hidden="1">
      <c r="A89" s="27" t="s">
        <v>50</v>
      </c>
      <c r="B89" s="61">
        <v>0.96</v>
      </c>
      <c r="C89" s="61">
        <v>54.14</v>
      </c>
      <c r="D89" s="61">
        <v>-3.45</v>
      </c>
      <c r="E89" s="62">
        <v>2.7000000000000001E-3</v>
      </c>
      <c r="F89" s="4"/>
      <c r="G89" s="4"/>
      <c r="H89" s="4"/>
      <c r="U89" s="4"/>
      <c r="V89" s="4"/>
    </row>
    <row r="90" spans="1:22" hidden="1">
      <c r="A90" s="27" t="s">
        <v>51</v>
      </c>
      <c r="B90" s="61">
        <v>1.07</v>
      </c>
      <c r="C90" s="61">
        <v>51.97</v>
      </c>
      <c r="D90" s="61">
        <v>-21.47</v>
      </c>
      <c r="E90" s="62">
        <v>7.7999999999999999E-4</v>
      </c>
      <c r="F90" s="4"/>
      <c r="G90" s="4"/>
      <c r="H90" s="4"/>
      <c r="U90" s="4"/>
      <c r="V90" s="4"/>
    </row>
    <row r="91" spans="1:22" hidden="1">
      <c r="A91" s="27" t="s">
        <v>52</v>
      </c>
      <c r="B91" s="61">
        <v>1.67</v>
      </c>
      <c r="C91" s="61">
        <v>43.87</v>
      </c>
      <c r="D91" s="61">
        <v>67.64</v>
      </c>
      <c r="E91" s="62">
        <v>7.9000000000000001E-4</v>
      </c>
      <c r="F91" s="4"/>
      <c r="G91" s="4"/>
      <c r="H91" s="4"/>
      <c r="U91" s="4"/>
      <c r="V91" s="4"/>
    </row>
    <row r="92" spans="1:22" hidden="1">
      <c r="A92" s="27" t="s">
        <v>53</v>
      </c>
      <c r="B92" s="61">
        <v>1.64</v>
      </c>
      <c r="C92" s="61">
        <v>58.63</v>
      </c>
      <c r="D92" s="61">
        <v>-13</v>
      </c>
      <c r="E92" s="62">
        <v>7.8600000000000002E-4</v>
      </c>
      <c r="F92" s="4"/>
      <c r="G92" s="4"/>
      <c r="H92" s="4"/>
      <c r="U92" s="4"/>
      <c r="V92" s="4"/>
    </row>
    <row r="93" spans="1:22" hidden="1">
      <c r="A93" s="27" t="s">
        <v>54</v>
      </c>
      <c r="B93" s="63"/>
      <c r="C93" s="61">
        <v>64.08</v>
      </c>
      <c r="D93" s="61">
        <v>52.25</v>
      </c>
      <c r="E93" s="64">
        <v>1.07E-3</v>
      </c>
      <c r="F93" s="4"/>
      <c r="G93" s="4"/>
      <c r="H93" s="4"/>
      <c r="U93" s="4"/>
      <c r="V93" s="4"/>
    </row>
    <row r="94" spans="1:22" hidden="1">
      <c r="A94" s="27" t="s">
        <v>55</v>
      </c>
      <c r="B94" s="61">
        <v>1.35</v>
      </c>
      <c r="C94" s="61">
        <v>10.73</v>
      </c>
      <c r="D94" s="61">
        <v>-0.04</v>
      </c>
      <c r="E94" s="64">
        <v>8.0000000000000004E-4</v>
      </c>
      <c r="F94" s="4"/>
      <c r="G94" s="4"/>
      <c r="H94" s="4"/>
      <c r="U94" s="4"/>
      <c r="V94" s="4"/>
    </row>
    <row r="95" spans="1:22" hidden="1">
      <c r="A95" s="27" t="s">
        <v>56</v>
      </c>
      <c r="B95" s="61">
        <v>0.25</v>
      </c>
      <c r="C95" s="61">
        <v>0.18</v>
      </c>
      <c r="D95" s="61">
        <v>0.44</v>
      </c>
      <c r="E95" s="64">
        <v>3.5E-4</v>
      </c>
      <c r="F95" s="4"/>
      <c r="G95" s="4"/>
      <c r="H95" s="4"/>
      <c r="U95" s="4"/>
      <c r="V95" s="4"/>
    </row>
    <row r="96" spans="1:22" hidden="1">
      <c r="A96" s="27" t="s">
        <v>57</v>
      </c>
      <c r="B96" s="61">
        <v>0.32</v>
      </c>
      <c r="C96" s="61">
        <v>0.47</v>
      </c>
      <c r="D96" s="61">
        <v>0.48</v>
      </c>
      <c r="E96" s="64">
        <v>6.0999999999999997E-4</v>
      </c>
      <c r="F96" s="4"/>
      <c r="G96" s="4"/>
      <c r="H96" s="4"/>
      <c r="U96" s="4"/>
      <c r="V96" s="4"/>
    </row>
    <row r="97" spans="1:22" hidden="1">
      <c r="A97" s="27" t="s">
        <v>58</v>
      </c>
      <c r="B97" s="61">
        <v>1.56</v>
      </c>
      <c r="C97" s="61">
        <v>60.62</v>
      </c>
      <c r="D97" s="61">
        <v>-11.31</v>
      </c>
      <c r="E97" s="64">
        <v>8.3000000000000001E-4</v>
      </c>
      <c r="F97" s="4"/>
      <c r="G97" s="4"/>
      <c r="H97" s="4"/>
      <c r="U97" s="4"/>
      <c r="V97" s="4"/>
    </row>
    <row r="98" spans="1:22" hidden="1">
      <c r="A98" s="27"/>
      <c r="B98" s="61"/>
      <c r="C98" s="61"/>
      <c r="D98" s="61"/>
      <c r="E98" s="64"/>
      <c r="F98" s="4"/>
      <c r="G98" s="4"/>
      <c r="H98" s="4"/>
      <c r="U98" s="4"/>
      <c r="V98" s="4"/>
    </row>
    <row r="99" spans="1:22" hidden="1">
      <c r="A99" s="27"/>
      <c r="B99" s="61"/>
      <c r="C99" s="61"/>
      <c r="D99" s="61"/>
      <c r="E99" s="64"/>
      <c r="F99" s="4"/>
      <c r="G99" s="4"/>
      <c r="H99" s="4"/>
      <c r="U99" s="4"/>
      <c r="V99" s="4"/>
    </row>
    <row r="100" spans="1:22" ht="15" hidden="1" thickBot="1">
      <c r="A100" s="34"/>
      <c r="B100" s="65"/>
      <c r="C100" s="65"/>
      <c r="D100" s="65"/>
      <c r="E100" s="66"/>
      <c r="F100" s="4"/>
      <c r="G100" s="4"/>
      <c r="H100" s="4"/>
      <c r="U100" s="4"/>
      <c r="V100" s="4"/>
    </row>
    <row r="101" spans="1:22" hidden="1">
      <c r="A101" s="67"/>
      <c r="B101" s="4"/>
      <c r="C101" s="68"/>
      <c r="D101" s="4"/>
      <c r="E101" s="4"/>
      <c r="F101" s="4"/>
      <c r="G101" s="4"/>
      <c r="H101" s="4"/>
      <c r="U101" s="4"/>
      <c r="V101" s="4"/>
    </row>
    <row r="102" spans="1:22" hidden="1">
      <c r="A102" s="67"/>
      <c r="B102" s="4"/>
      <c r="C102" s="68"/>
      <c r="D102" s="4"/>
      <c r="E102" s="4"/>
      <c r="F102" s="4"/>
      <c r="G102" s="4"/>
      <c r="H102" s="4"/>
      <c r="U102" s="4"/>
      <c r="V102" s="4"/>
    </row>
    <row r="103" spans="1:22" hidden="1">
      <c r="A103" s="4"/>
      <c r="B103" s="4"/>
      <c r="C103" s="4"/>
      <c r="D103" s="4"/>
      <c r="E103" s="4"/>
      <c r="F103" s="4"/>
      <c r="G103" s="4"/>
      <c r="H103" s="4"/>
      <c r="U103" s="4"/>
      <c r="V103" s="4"/>
    </row>
    <row r="104" spans="1:22" ht="24" hidden="1" thickBot="1">
      <c r="A104" s="211" t="s">
        <v>74</v>
      </c>
      <c r="B104" s="212"/>
      <c r="C104" s="212"/>
      <c r="D104" s="212"/>
      <c r="E104" s="212"/>
      <c r="F104" s="212"/>
      <c r="G104" s="212"/>
      <c r="H104" s="212"/>
      <c r="I104" s="212"/>
      <c r="J104" s="212"/>
      <c r="K104" s="212"/>
      <c r="L104" s="212"/>
      <c r="M104" s="212"/>
      <c r="N104" s="212"/>
      <c r="O104" s="212"/>
      <c r="P104" s="212"/>
      <c r="Q104" s="212"/>
      <c r="R104" s="212"/>
      <c r="S104" s="212"/>
      <c r="T104" s="213"/>
      <c r="U104" s="4"/>
      <c r="V104" s="4"/>
    </row>
    <row r="105" spans="1:22" ht="29.45" hidden="1" thickBot="1">
      <c r="A105" s="57" t="s">
        <v>75</v>
      </c>
      <c r="B105" s="58" t="s">
        <v>45</v>
      </c>
      <c r="C105" s="59" t="s">
        <v>46</v>
      </c>
      <c r="D105" s="57" t="s">
        <v>47</v>
      </c>
      <c r="E105" s="69" t="s">
        <v>48</v>
      </c>
      <c r="F105" s="57" t="s">
        <v>49</v>
      </c>
      <c r="G105" s="58" t="s">
        <v>50</v>
      </c>
      <c r="H105" s="59" t="s">
        <v>51</v>
      </c>
      <c r="I105" s="57" t="s">
        <v>52</v>
      </c>
      <c r="J105" s="69" t="s">
        <v>53</v>
      </c>
      <c r="K105" s="57" t="s">
        <v>54</v>
      </c>
      <c r="L105" s="58" t="s">
        <v>55</v>
      </c>
      <c r="M105" s="59"/>
      <c r="N105" s="59" t="s">
        <v>56</v>
      </c>
      <c r="O105" s="57" t="s">
        <v>57</v>
      </c>
      <c r="P105" s="69" t="s">
        <v>58</v>
      </c>
      <c r="Q105" s="57"/>
      <c r="R105" s="58"/>
      <c r="S105" s="59"/>
      <c r="T105" s="57" t="s">
        <v>76</v>
      </c>
      <c r="U105" s="4"/>
      <c r="V105" s="4"/>
    </row>
    <row r="106" spans="1:22" hidden="1">
      <c r="A106" s="70" t="s">
        <v>65</v>
      </c>
      <c r="B106" s="51">
        <v>0.64719599999999999</v>
      </c>
      <c r="C106" s="51">
        <v>1.818E-3</v>
      </c>
      <c r="D106" s="51">
        <v>0.27341300000000002</v>
      </c>
      <c r="E106" s="51">
        <v>4.9630000000000004E-3</v>
      </c>
      <c r="F106" s="51">
        <v>2.6641999999999999E-2</v>
      </c>
      <c r="G106" s="51">
        <v>1.7728000000000001E-2</v>
      </c>
      <c r="H106" s="51">
        <v>2.8239E-2</v>
      </c>
      <c r="I106" s="71"/>
      <c r="J106" s="71"/>
      <c r="K106" s="71"/>
      <c r="L106" s="71"/>
      <c r="M106" s="71"/>
      <c r="N106" s="71"/>
      <c r="O106" s="71"/>
      <c r="P106" s="71"/>
      <c r="Q106" s="71"/>
      <c r="R106" s="71"/>
      <c r="S106" s="71"/>
      <c r="T106" s="72">
        <f>SUM(B106:J106)</f>
        <v>0.99999899999999997</v>
      </c>
      <c r="U106" s="4"/>
      <c r="V106" s="4"/>
    </row>
    <row r="107" spans="1:22" hidden="1">
      <c r="A107" s="70" t="s">
        <v>77</v>
      </c>
      <c r="B107" s="51"/>
      <c r="C107" s="73"/>
      <c r="D107" s="73"/>
      <c r="E107" s="73"/>
      <c r="F107" s="73"/>
      <c r="G107" s="73"/>
      <c r="H107" s="73"/>
      <c r="I107" s="74"/>
      <c r="J107" s="74"/>
      <c r="K107" s="74"/>
      <c r="L107" s="74"/>
      <c r="M107" s="74"/>
      <c r="N107" s="74"/>
      <c r="O107" s="74"/>
      <c r="P107" s="74"/>
      <c r="Q107" s="74"/>
      <c r="R107" s="74"/>
      <c r="S107" s="74"/>
      <c r="T107" s="75"/>
      <c r="U107" s="4"/>
      <c r="V107" s="4"/>
    </row>
    <row r="108" spans="1:22" hidden="1">
      <c r="A108" s="70" t="s">
        <v>78</v>
      </c>
      <c r="B108" s="51"/>
      <c r="C108" s="73"/>
      <c r="D108" s="73"/>
      <c r="E108" s="73"/>
      <c r="F108" s="73"/>
      <c r="G108" s="73"/>
      <c r="H108" s="73"/>
      <c r="I108" s="74"/>
      <c r="J108" s="74"/>
      <c r="K108" s="74"/>
      <c r="L108" s="74"/>
      <c r="M108" s="74"/>
      <c r="N108" s="74"/>
      <c r="O108" s="74"/>
      <c r="P108" s="74"/>
      <c r="Q108" s="74"/>
      <c r="R108" s="74"/>
      <c r="S108" s="74"/>
      <c r="T108" s="75"/>
      <c r="U108" s="4"/>
      <c r="V108" s="4"/>
    </row>
    <row r="109" spans="1:22" hidden="1">
      <c r="A109" s="70" t="s">
        <v>79</v>
      </c>
      <c r="B109" s="51"/>
      <c r="C109" s="73"/>
      <c r="D109" s="73"/>
      <c r="E109" s="73"/>
      <c r="F109" s="73"/>
      <c r="G109" s="73"/>
      <c r="H109" s="73"/>
      <c r="I109" s="74"/>
      <c r="J109" s="74"/>
      <c r="K109" s="74"/>
      <c r="L109" s="74"/>
      <c r="M109" s="74"/>
      <c r="N109" s="74"/>
      <c r="O109" s="74"/>
      <c r="P109" s="74"/>
      <c r="Q109" s="74"/>
      <c r="R109" s="74"/>
      <c r="S109" s="74"/>
      <c r="T109" s="75"/>
      <c r="U109" s="4"/>
      <c r="V109" s="4"/>
    </row>
    <row r="110" spans="1:22" hidden="1">
      <c r="A110" s="70" t="s">
        <v>80</v>
      </c>
      <c r="B110" s="51"/>
      <c r="C110" s="73"/>
      <c r="D110" s="73"/>
      <c r="E110" s="73"/>
      <c r="F110" s="73"/>
      <c r="G110" s="73"/>
      <c r="H110" s="73"/>
      <c r="I110" s="74"/>
      <c r="J110" s="74"/>
      <c r="K110" s="74"/>
      <c r="L110" s="74"/>
      <c r="M110" s="74"/>
      <c r="N110" s="74"/>
      <c r="O110" s="74"/>
      <c r="P110" s="74"/>
      <c r="Q110" s="74"/>
      <c r="R110" s="74"/>
      <c r="S110" s="74"/>
      <c r="T110" s="75"/>
      <c r="U110" s="4"/>
      <c r="V110" s="4"/>
    </row>
    <row r="111" spans="1:22" hidden="1">
      <c r="A111" s="70" t="s">
        <v>81</v>
      </c>
      <c r="B111" s="51"/>
      <c r="C111" s="73"/>
      <c r="D111" s="73"/>
      <c r="E111" s="73"/>
      <c r="F111" s="73"/>
      <c r="G111" s="73"/>
      <c r="H111" s="73"/>
      <c r="I111" s="74"/>
      <c r="J111" s="74"/>
      <c r="K111" s="74"/>
      <c r="L111" s="74"/>
      <c r="M111" s="74"/>
      <c r="N111" s="74"/>
      <c r="O111" s="74"/>
      <c r="P111" s="74"/>
      <c r="Q111" s="74"/>
      <c r="R111" s="74"/>
      <c r="S111" s="74"/>
      <c r="T111" s="75"/>
      <c r="U111" s="4"/>
      <c r="V111" s="4"/>
    </row>
    <row r="112" spans="1:22" hidden="1">
      <c r="A112" s="70" t="s">
        <v>82</v>
      </c>
      <c r="B112" s="51"/>
      <c r="C112" s="73"/>
      <c r="D112" s="73"/>
      <c r="E112" s="73"/>
      <c r="F112" s="73"/>
      <c r="G112" s="73"/>
      <c r="H112" s="73"/>
      <c r="I112" s="74"/>
      <c r="J112" s="74"/>
      <c r="K112" s="74"/>
      <c r="L112" s="74"/>
      <c r="M112" s="74"/>
      <c r="N112" s="74"/>
      <c r="O112" s="74"/>
      <c r="P112" s="74"/>
      <c r="Q112" s="74"/>
      <c r="R112" s="74"/>
      <c r="S112" s="74"/>
      <c r="T112" s="75"/>
      <c r="U112" s="4"/>
      <c r="V112" s="4"/>
    </row>
    <row r="113" spans="1:22" hidden="1">
      <c r="A113" s="70" t="s">
        <v>83</v>
      </c>
      <c r="B113" s="51"/>
      <c r="C113" s="73"/>
      <c r="D113" s="73"/>
      <c r="E113" s="73"/>
      <c r="F113" s="73"/>
      <c r="G113" s="73"/>
      <c r="H113" s="73"/>
      <c r="I113" s="74"/>
      <c r="J113" s="74"/>
      <c r="K113" s="74"/>
      <c r="L113" s="74"/>
      <c r="M113" s="74"/>
      <c r="N113" s="74"/>
      <c r="O113" s="74"/>
      <c r="P113" s="74"/>
      <c r="Q113" s="74"/>
      <c r="R113" s="74"/>
      <c r="S113" s="74"/>
      <c r="T113" s="75"/>
      <c r="U113" s="4"/>
      <c r="V113" s="4"/>
    </row>
    <row r="114" spans="1:22" hidden="1">
      <c r="A114" s="70"/>
      <c r="B114" s="51"/>
      <c r="C114" s="73"/>
      <c r="D114" s="73"/>
      <c r="E114" s="73"/>
      <c r="F114" s="73"/>
      <c r="G114" s="73"/>
      <c r="H114" s="73"/>
      <c r="I114" s="74"/>
      <c r="J114" s="74"/>
      <c r="K114" s="74"/>
      <c r="L114" s="74"/>
      <c r="M114" s="74"/>
      <c r="N114" s="74"/>
      <c r="O114" s="74"/>
      <c r="P114" s="74"/>
      <c r="Q114" s="74"/>
      <c r="R114" s="74"/>
      <c r="S114" s="74"/>
      <c r="T114" s="75"/>
      <c r="U114" s="4"/>
      <c r="V114" s="4"/>
    </row>
    <row r="115" spans="1:22" hidden="1">
      <c r="A115" s="70"/>
      <c r="B115" s="51"/>
      <c r="C115" s="73"/>
      <c r="D115" s="73"/>
      <c r="E115" s="73"/>
      <c r="F115" s="73"/>
      <c r="G115" s="73"/>
      <c r="H115" s="73"/>
      <c r="I115" s="74"/>
      <c r="J115" s="74"/>
      <c r="K115" s="74"/>
      <c r="L115" s="74"/>
      <c r="M115" s="74"/>
      <c r="N115" s="74"/>
      <c r="O115" s="74"/>
      <c r="P115" s="74"/>
      <c r="Q115" s="74"/>
      <c r="R115" s="74"/>
      <c r="S115" s="74"/>
      <c r="T115" s="75"/>
      <c r="U115" s="4"/>
      <c r="V115" s="4"/>
    </row>
    <row r="116" spans="1:22" hidden="1">
      <c r="A116" s="70"/>
      <c r="B116" s="51"/>
      <c r="C116" s="73"/>
      <c r="D116" s="73"/>
      <c r="E116" s="73"/>
      <c r="F116" s="73"/>
      <c r="G116" s="73"/>
      <c r="H116" s="73"/>
      <c r="I116" s="74"/>
      <c r="J116" s="74"/>
      <c r="K116" s="74"/>
      <c r="L116" s="74"/>
      <c r="M116" s="74"/>
      <c r="N116" s="74"/>
      <c r="O116" s="74"/>
      <c r="P116" s="74"/>
      <c r="Q116" s="74"/>
      <c r="R116" s="74"/>
      <c r="S116" s="74"/>
      <c r="T116" s="75"/>
      <c r="U116" s="4"/>
      <c r="V116" s="4"/>
    </row>
    <row r="117" spans="1:22" hidden="1">
      <c r="A117" s="70"/>
      <c r="B117" s="51"/>
      <c r="C117" s="73"/>
      <c r="D117" s="73"/>
      <c r="E117" s="73"/>
      <c r="F117" s="73"/>
      <c r="G117" s="73"/>
      <c r="H117" s="73"/>
      <c r="I117" s="74"/>
      <c r="J117" s="74"/>
      <c r="K117" s="74"/>
      <c r="L117" s="74"/>
      <c r="M117" s="74"/>
      <c r="N117" s="74"/>
      <c r="O117" s="74"/>
      <c r="P117" s="74"/>
      <c r="Q117" s="74"/>
      <c r="R117" s="74"/>
      <c r="S117" s="74"/>
      <c r="T117" s="75"/>
      <c r="U117" s="4"/>
      <c r="V117" s="4"/>
    </row>
    <row r="118" spans="1:22" hidden="1">
      <c r="A118" s="70"/>
      <c r="B118" s="51"/>
      <c r="C118" s="73"/>
      <c r="D118" s="73"/>
      <c r="E118" s="73"/>
      <c r="F118" s="73"/>
      <c r="G118" s="73"/>
      <c r="H118" s="73"/>
      <c r="I118" s="74"/>
      <c r="J118" s="74"/>
      <c r="K118" s="74"/>
      <c r="L118" s="74"/>
      <c r="M118" s="74"/>
      <c r="N118" s="74"/>
      <c r="O118" s="74"/>
      <c r="P118" s="74"/>
      <c r="Q118" s="74"/>
      <c r="R118" s="74"/>
      <c r="S118" s="74"/>
      <c r="T118" s="75"/>
      <c r="U118" s="4"/>
      <c r="V118" s="4"/>
    </row>
    <row r="119" spans="1:22" hidden="1">
      <c r="A119" s="70"/>
      <c r="B119" s="51"/>
      <c r="C119" s="73"/>
      <c r="D119" s="73"/>
      <c r="E119" s="73"/>
      <c r="F119" s="73"/>
      <c r="G119" s="73"/>
      <c r="H119" s="73"/>
      <c r="I119" s="74"/>
      <c r="J119" s="74"/>
      <c r="K119" s="74"/>
      <c r="L119" s="74"/>
      <c r="M119" s="74"/>
      <c r="N119" s="74"/>
      <c r="O119" s="74"/>
      <c r="P119" s="74"/>
      <c r="Q119" s="74"/>
      <c r="R119" s="74"/>
      <c r="S119" s="74"/>
      <c r="T119" s="75"/>
      <c r="U119" s="4"/>
      <c r="V119" s="4"/>
    </row>
    <row r="120" spans="1:22" hidden="1">
      <c r="A120" s="70"/>
      <c r="B120" s="51"/>
      <c r="C120" s="73"/>
      <c r="D120" s="73"/>
      <c r="E120" s="73"/>
      <c r="F120" s="73"/>
      <c r="G120" s="73"/>
      <c r="H120" s="73"/>
      <c r="I120" s="74"/>
      <c r="J120" s="74"/>
      <c r="K120" s="74"/>
      <c r="L120" s="74"/>
      <c r="M120" s="74"/>
      <c r="N120" s="74"/>
      <c r="O120" s="74"/>
      <c r="P120" s="74"/>
      <c r="Q120" s="74"/>
      <c r="R120" s="74"/>
      <c r="S120" s="74"/>
      <c r="T120" s="75"/>
      <c r="U120" s="4"/>
      <c r="V120" s="4"/>
    </row>
    <row r="121" spans="1:22" hidden="1">
      <c r="A121" s="70"/>
      <c r="B121" s="51"/>
      <c r="C121" s="73"/>
      <c r="D121" s="73"/>
      <c r="E121" s="73"/>
      <c r="F121" s="73"/>
      <c r="G121" s="73"/>
      <c r="H121" s="73"/>
      <c r="I121" s="74"/>
      <c r="J121" s="74"/>
      <c r="K121" s="74"/>
      <c r="L121" s="74"/>
      <c r="M121" s="74"/>
      <c r="N121" s="74"/>
      <c r="O121" s="74"/>
      <c r="P121" s="74"/>
      <c r="Q121" s="74"/>
      <c r="R121" s="74"/>
      <c r="S121" s="74"/>
      <c r="T121" s="75"/>
      <c r="U121" s="4"/>
      <c r="V121" s="4"/>
    </row>
    <row r="122" spans="1:22" hidden="1">
      <c r="A122" s="4"/>
      <c r="B122" s="4"/>
      <c r="C122" s="4"/>
      <c r="D122" s="4"/>
      <c r="E122" s="4"/>
      <c r="F122" s="4"/>
      <c r="G122" s="4"/>
      <c r="H122" s="4"/>
      <c r="U122" s="4"/>
      <c r="V122" s="4"/>
    </row>
    <row r="123" spans="1:22" hidden="1">
      <c r="A123" s="4"/>
      <c r="B123" s="4"/>
      <c r="C123" s="4"/>
      <c r="D123" s="4"/>
      <c r="E123" s="4"/>
      <c r="F123" s="4"/>
      <c r="G123" s="4"/>
      <c r="H123" s="4"/>
      <c r="U123" s="4"/>
      <c r="V123" s="4"/>
    </row>
    <row r="124" spans="1:22" hidden="1">
      <c r="A124" s="4"/>
      <c r="B124" s="4"/>
      <c r="C124" s="4"/>
      <c r="D124" s="4"/>
      <c r="E124" s="4"/>
      <c r="F124" s="4"/>
      <c r="G124" s="4"/>
      <c r="H124" s="4"/>
      <c r="U124" s="4"/>
      <c r="V124" s="4"/>
    </row>
    <row r="125" spans="1:22">
      <c r="A125" s="4"/>
      <c r="B125" s="4"/>
      <c r="C125" s="4"/>
      <c r="D125" s="4"/>
      <c r="E125" s="4"/>
      <c r="F125" s="4"/>
      <c r="G125" s="4"/>
      <c r="H125" s="4"/>
      <c r="U125" s="4"/>
      <c r="V125" s="4"/>
    </row>
    <row r="126" spans="1:22">
      <c r="A126" s="4"/>
      <c r="B126" s="4"/>
      <c r="C126" s="4"/>
      <c r="D126" s="4"/>
      <c r="E126" s="4"/>
      <c r="F126" s="4"/>
      <c r="G126" s="4"/>
      <c r="H126" s="4"/>
      <c r="U126" s="4"/>
      <c r="V126" s="4"/>
    </row>
    <row r="127" spans="1:22" ht="63.75" customHeight="1">
      <c r="A127" s="230" t="s">
        <v>84</v>
      </c>
      <c r="B127" s="230"/>
      <c r="C127" s="230"/>
      <c r="D127" s="230"/>
      <c r="E127" s="230"/>
      <c r="F127" s="4"/>
      <c r="G127" s="4"/>
      <c r="H127" s="4"/>
      <c r="U127" s="4"/>
      <c r="V127" s="4"/>
    </row>
    <row r="128" spans="1:22" ht="63.75" customHeight="1">
      <c r="A128" s="230"/>
      <c r="B128" s="230"/>
      <c r="C128" s="230"/>
      <c r="D128" s="230"/>
      <c r="E128" s="230"/>
      <c r="F128" s="4"/>
      <c r="G128" s="4"/>
      <c r="H128" s="4"/>
      <c r="U128" s="4"/>
      <c r="V128" s="4"/>
    </row>
    <row r="129" spans="1:22">
      <c r="A129" s="230"/>
      <c r="B129" s="230"/>
      <c r="C129" s="230"/>
      <c r="D129" s="230"/>
      <c r="E129" s="230"/>
      <c r="F129" s="4"/>
      <c r="G129" s="4"/>
      <c r="H129" s="4"/>
      <c r="U129" s="4"/>
      <c r="V129" s="4"/>
    </row>
    <row r="130" spans="1:22">
      <c r="A130" s="230"/>
      <c r="B130" s="230"/>
      <c r="C130" s="230"/>
      <c r="D130" s="230"/>
      <c r="E130" s="230"/>
      <c r="F130" s="4"/>
      <c r="G130" s="4"/>
      <c r="H130" s="4"/>
      <c r="U130" s="4"/>
      <c r="V130" s="4"/>
    </row>
    <row r="131" spans="1:22">
      <c r="A131" s="230"/>
      <c r="B131" s="230"/>
      <c r="C131" s="230"/>
      <c r="D131" s="230"/>
      <c r="E131" s="230"/>
      <c r="F131" s="4"/>
      <c r="G131" s="4"/>
      <c r="H131" s="4"/>
      <c r="U131" s="4"/>
      <c r="V131" s="4"/>
    </row>
    <row r="134" spans="1:22">
      <c r="B134" s="3" t="s">
        <v>26</v>
      </c>
      <c r="C134" s="2" t="s">
        <v>27</v>
      </c>
      <c r="D134" s="3" t="s">
        <v>85</v>
      </c>
      <c r="E134" s="3" t="s">
        <v>86</v>
      </c>
      <c r="F134" s="3" t="s">
        <v>87</v>
      </c>
      <c r="G134" s="3" t="s">
        <v>88</v>
      </c>
      <c r="H134" s="3" t="s">
        <v>89</v>
      </c>
    </row>
    <row r="135" spans="1:22" ht="28.5">
      <c r="A135" s="3" t="s">
        <v>90</v>
      </c>
      <c r="B135" s="138">
        <f t="shared" ref="B135:C137" si="7">B25</f>
        <v>0</v>
      </c>
      <c r="C135" s="138">
        <f t="shared" si="7"/>
        <v>0</v>
      </c>
      <c r="D135" s="139">
        <f>E56</f>
        <v>0</v>
      </c>
      <c r="E135" s="139">
        <f t="shared" ref="E135:F135" si="8">F56</f>
        <v>0</v>
      </c>
      <c r="F135" s="139">
        <f t="shared" si="8"/>
        <v>0</v>
      </c>
      <c r="G135" s="3" t="e">
        <f>IF(B138&gt;0,"up","down")</f>
        <v>#DIV/0!</v>
      </c>
      <c r="H135" s="3" t="e">
        <f>IF(C138&gt;0,"up","down")</f>
        <v>#DIV/0!</v>
      </c>
    </row>
    <row r="136" spans="1:22" ht="28.5">
      <c r="A136" s="3" t="s">
        <v>29</v>
      </c>
      <c r="B136" s="79">
        <f t="shared" si="7"/>
        <v>0</v>
      </c>
      <c r="C136" s="79">
        <f t="shared" si="7"/>
        <v>0</v>
      </c>
      <c r="D136" s="76"/>
      <c r="E136" s="76"/>
      <c r="F136" s="76"/>
    </row>
    <row r="137" spans="1:22" ht="28.5">
      <c r="A137" s="3" t="s">
        <v>30</v>
      </c>
      <c r="B137" s="138">
        <f t="shared" si="7"/>
        <v>0</v>
      </c>
      <c r="C137" s="138">
        <f t="shared" si="7"/>
        <v>0</v>
      </c>
    </row>
    <row r="138" spans="1:22" ht="26.1">
      <c r="A138" s="206" t="b">
        <f>IF(IFERROR(ABS(B138),0)&gt;100%, 100%)</f>
        <v>0</v>
      </c>
      <c r="B138" s="88" t="e">
        <f>(B135-B137)/B137</f>
        <v>#DIV/0!</v>
      </c>
      <c r="C138" s="200" t="e">
        <f>(C135-C137)/C137</f>
        <v>#DIV/0!</v>
      </c>
      <c r="D138" s="200" t="e">
        <f>ABS(C138)</f>
        <v>#DIV/0!</v>
      </c>
    </row>
    <row r="139" spans="1:22" ht="59.25" customHeight="1">
      <c r="A139" s="177"/>
      <c r="B139" s="3" t="s">
        <v>91</v>
      </c>
      <c r="D139" s="177"/>
    </row>
    <row r="140" spans="1:22" ht="59.25" customHeight="1">
      <c r="B140" s="3" t="s">
        <v>92</v>
      </c>
    </row>
    <row r="141" spans="1:22">
      <c r="C141" s="2"/>
    </row>
    <row r="142" spans="1:22">
      <c r="C142" s="2"/>
    </row>
    <row r="143" spans="1:22">
      <c r="C143" s="2"/>
    </row>
    <row r="144" spans="1:22">
      <c r="C144" s="2"/>
    </row>
    <row r="145" spans="3:3">
      <c r="C145" s="2"/>
    </row>
    <row r="146" spans="3:3">
      <c r="C146" s="2"/>
    </row>
  </sheetData>
  <protectedRanges>
    <protectedRange sqref="B19:C21 A16:B16" name="Range6"/>
    <protectedRange sqref="B28:C28" name="Range5"/>
    <protectedRange sqref="C37:C53" name="Range2"/>
    <protectedRange sqref="B61" name="Range3"/>
    <protectedRange sqref="C63:C79" name="Range4"/>
    <protectedRange sqref="B22:C22" name="Range6_1"/>
    <protectedRange sqref="B25:C27" name="Range5_1"/>
    <protectedRange sqref="B23:C23" name="Range6_2"/>
  </protectedRanges>
  <mergeCells count="25">
    <mergeCell ref="A16:B16"/>
    <mergeCell ref="Q104:T104"/>
    <mergeCell ref="A127:E131"/>
    <mergeCell ref="A60:C60"/>
    <mergeCell ref="B61:C61"/>
    <mergeCell ref="D63:E69"/>
    <mergeCell ref="A82:E82"/>
    <mergeCell ref="A104:J104"/>
    <mergeCell ref="K104:P104"/>
    <mergeCell ref="A15:B15"/>
    <mergeCell ref="A35:G35"/>
    <mergeCell ref="A31:B31"/>
    <mergeCell ref="A3:D3"/>
    <mergeCell ref="C8:F8"/>
    <mergeCell ref="C9:F9"/>
    <mergeCell ref="C10:F10"/>
    <mergeCell ref="C11:F11"/>
    <mergeCell ref="C12:F12"/>
    <mergeCell ref="C13:F13"/>
    <mergeCell ref="A18:C18"/>
    <mergeCell ref="B20:C20"/>
    <mergeCell ref="B23:C23"/>
    <mergeCell ref="B21:C21"/>
    <mergeCell ref="B22:C22"/>
    <mergeCell ref="B19:C19"/>
  </mergeCells>
  <dataValidations count="3">
    <dataValidation type="list" allowBlank="1" showInputMessage="1" showErrorMessage="1" sqref="WVS61 WLW61 WCA61 VSE61 VII61 UYM61 UOQ61 UEU61 TUY61 TLC61 TBG61 SRK61 SHO61 RXS61 RNW61 REA61 QUE61 QKI61 QAM61 PQQ61 PGU61 OWY61 ONC61 ODG61 NTK61 NJO61 MZS61 MPW61 MGA61 LWE61 LMI61 LCM61 KSQ61 KIU61 JYY61 JPC61 JFG61 IVK61 ILO61 IBS61 HRW61 HIA61 GYE61 GOI61 GEM61 FUQ61 FKU61 FAY61 ERC61 EHG61 DXK61 DNO61 DDS61 CTW61 CKA61 CAE61 BQI61 BGM61 AWQ61 AMU61 ACY61 TC61 JG61" xr:uid="{00000000-0002-0000-0200-000000000000}">
      <formula1>$A$75:$A$94</formula1>
    </dataValidation>
    <dataValidation type="list" allowBlank="1" showInputMessage="1" showErrorMessage="1" sqref="B61:C61" xr:uid="{00000000-0002-0000-0200-000001000000}">
      <formula1>$A$106:$A$120</formula1>
    </dataValidation>
    <dataValidation type="list" allowBlank="1" showInputMessage="1" showErrorMessage="1" sqref="B21:C21" xr:uid="{00000000-0002-0000-0200-000002000000}">
      <formula1>$F$15:$F$27</formula1>
    </dataValidation>
  </dataValidations>
  <pageMargins left="0.7" right="0.7" top="0.75" bottom="0.75" header="0.3" footer="0.3"/>
  <pageSetup paperSize="9" orientation="portrait"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2" tint="0.79998168889431442"/>
    <pageSetUpPr autoPageBreaks="0" fitToPage="1"/>
  </sheetPr>
  <dimension ref="A1:X107"/>
  <sheetViews>
    <sheetView showGridLines="0" zoomScaleNormal="100" zoomScaleSheetLayoutView="90" workbookViewId="0">
      <pane ySplit="2" topLeftCell="A28" activePane="bottomLeft" state="frozen"/>
      <selection pane="bottomLeft" activeCell="A12" sqref="A12"/>
      <selection activeCell="I34" sqref="I34"/>
    </sheetView>
  </sheetViews>
  <sheetFormatPr defaultColWidth="9.140625" defaultRowHeight="12.95"/>
  <cols>
    <col min="1" max="1" width="28.7109375" style="194" customWidth="1"/>
    <col min="2" max="2" width="8.7109375" style="194" customWidth="1"/>
    <col min="3" max="3" width="10.5703125" style="194" customWidth="1"/>
    <col min="4" max="14" width="12.28515625" style="194" customWidth="1"/>
    <col min="15" max="15" width="11.28515625" style="194" customWidth="1"/>
    <col min="16" max="16" width="9.140625" style="1" customWidth="1"/>
    <col min="17" max="24" width="15.7109375" style="1" customWidth="1"/>
    <col min="25" max="16384" width="9.140625" style="1"/>
  </cols>
  <sheetData>
    <row r="1" spans="1:24" s="80" customFormat="1" ht="26.1">
      <c r="A1" s="236" t="s">
        <v>93</v>
      </c>
      <c r="B1" s="236"/>
      <c r="C1" s="236"/>
      <c r="D1" s="236"/>
      <c r="E1" s="178"/>
      <c r="F1" s="178"/>
      <c r="G1" s="178"/>
      <c r="H1" s="178"/>
      <c r="I1" s="178"/>
      <c r="J1" s="178"/>
      <c r="K1" s="178"/>
      <c r="L1" s="178"/>
      <c r="M1" s="178"/>
      <c r="N1" s="178"/>
      <c r="O1" s="178"/>
    </row>
    <row r="2" spans="1:24" ht="23.45">
      <c r="A2" s="179">
        <f>Calculations!B20</f>
        <v>44927</v>
      </c>
      <c r="B2" s="179"/>
      <c r="C2" s="179"/>
      <c r="D2" s="179"/>
      <c r="E2" s="179"/>
      <c r="F2" s="180"/>
      <c r="G2" s="180"/>
      <c r="H2" s="180"/>
      <c r="I2" s="180"/>
      <c r="J2" s="180"/>
      <c r="K2" s="180"/>
      <c r="L2" s="180"/>
      <c r="M2" s="180"/>
      <c r="N2" s="180"/>
      <c r="O2" s="180"/>
      <c r="P2" s="83"/>
      <c r="Q2" s="83"/>
      <c r="R2" s="83"/>
      <c r="S2" s="83"/>
      <c r="T2" s="83"/>
      <c r="U2" s="83"/>
      <c r="V2" s="83"/>
      <c r="W2" s="83"/>
      <c r="X2" s="83"/>
    </row>
    <row r="3" spans="1:24" ht="18.75" customHeight="1">
      <c r="A3" s="181" t="s">
        <v>94</v>
      </c>
      <c r="B3" s="182"/>
      <c r="C3" s="183"/>
      <c r="D3" s="183"/>
      <c r="E3" s="183"/>
      <c r="F3" s="183"/>
      <c r="G3" s="183"/>
      <c r="H3" s="183"/>
      <c r="I3" s="183"/>
      <c r="J3" s="183"/>
      <c r="K3" s="183"/>
      <c r="L3" s="183"/>
      <c r="M3" s="183"/>
      <c r="N3" s="183"/>
      <c r="O3" s="183"/>
    </row>
    <row r="4" spans="1:24" ht="20.25" customHeight="1">
      <c r="A4" s="235" t="s">
        <v>95</v>
      </c>
      <c r="B4" s="235"/>
      <c r="C4" s="235"/>
      <c r="D4" s="235"/>
      <c r="E4" s="235"/>
      <c r="F4" s="235"/>
      <c r="G4" s="235"/>
      <c r="H4" s="235"/>
      <c r="I4" s="235"/>
      <c r="J4" s="235"/>
      <c r="K4" s="235"/>
      <c r="L4" s="235"/>
      <c r="M4" s="235"/>
      <c r="N4" s="235"/>
      <c r="O4" s="235"/>
    </row>
    <row r="5" spans="1:24" ht="30" customHeight="1">
      <c r="A5" s="108" t="s">
        <v>96</v>
      </c>
      <c r="B5" s="113">
        <f>Calculations!F15</f>
        <v>44440</v>
      </c>
      <c r="C5" s="107">
        <f>Calculations!$F$16</f>
        <v>44743</v>
      </c>
      <c r="D5" s="107">
        <f>Calculations!$F$17</f>
        <v>44774</v>
      </c>
      <c r="E5" s="107">
        <f>Calculations!$F$18</f>
        <v>44805</v>
      </c>
      <c r="F5" s="107">
        <f>Calculations!$F$19</f>
        <v>44835</v>
      </c>
      <c r="G5" s="107">
        <f>Calculations!$F$20</f>
        <v>44866</v>
      </c>
      <c r="H5" s="107">
        <f>Calculations!$F$21</f>
        <v>44896</v>
      </c>
      <c r="I5" s="107">
        <f>Calculations!$F$22</f>
        <v>44927</v>
      </c>
      <c r="J5" s="107">
        <f>Calculations!$F$23</f>
        <v>44958</v>
      </c>
      <c r="K5" s="107">
        <f>Calculations!$F$24</f>
        <v>44986</v>
      </c>
      <c r="L5" s="107">
        <f>Calculations!$F$25</f>
        <v>45017</v>
      </c>
      <c r="M5" s="107">
        <f>Calculations!$F$26</f>
        <v>45047</v>
      </c>
      <c r="N5" s="107">
        <f>Calculations!$F$27</f>
        <v>45078</v>
      </c>
      <c r="O5" s="184" t="s">
        <v>97</v>
      </c>
      <c r="R5" s="84" t="s">
        <v>26</v>
      </c>
      <c r="S5" s="85" t="s">
        <v>27</v>
      </c>
      <c r="T5" s="86" t="s">
        <v>98</v>
      </c>
    </row>
    <row r="6" spans="1:24" ht="17.25" customHeight="1">
      <c r="A6" s="109" t="s">
        <v>99</v>
      </c>
      <c r="B6" s="114">
        <f>SUMIFS('Transaction Data'!$K:$K,'Transaction Data'!$A:$A,B$5,'Transaction Data'!$E:$E,$A6)/1000</f>
        <v>0</v>
      </c>
      <c r="C6" s="185">
        <f>SUMIFS('Transaction Data'!$K:$K,'Transaction Data'!$A:$A,C$5,'Transaction Data'!$E:$E,$A6)/1000</f>
        <v>0</v>
      </c>
      <c r="D6" s="186">
        <f>SUMIFS('Transaction Data'!$K:$K,'Transaction Data'!$A:$A,D$5,'Transaction Data'!$E:$E,$A6)/1000</f>
        <v>0</v>
      </c>
      <c r="E6" s="186">
        <f>SUMIFS('Transaction Data'!$K:$K,'Transaction Data'!$A:$A,E$5,'Transaction Data'!$E:$E,$A6)/1000</f>
        <v>0</v>
      </c>
      <c r="F6" s="186">
        <f>SUMIFS('Transaction Data'!$K:$K,'Transaction Data'!$A:$A,F$5,'Transaction Data'!$E:$E,$A6)/1000</f>
        <v>0</v>
      </c>
      <c r="G6" s="186">
        <f>SUMIFS('Transaction Data'!$K:$K,'Transaction Data'!$A:$A,G$5,'Transaction Data'!$E:$E,$A6)/1000</f>
        <v>0</v>
      </c>
      <c r="H6" s="186">
        <f>SUMIFS('Transaction Data'!$K:$K,'Transaction Data'!$A:$A,H$5,'Transaction Data'!$E:$E,$A6)/1000</f>
        <v>0</v>
      </c>
      <c r="I6" s="186">
        <f>SUMIFS('Transaction Data'!$K:$K,'Transaction Data'!$A:$A,I$5,'Transaction Data'!$E:$E,$A6)/1000</f>
        <v>0</v>
      </c>
      <c r="J6" s="186">
        <f>SUMIFS('Transaction Data'!$K:$K,'Transaction Data'!$A:$A,J$5,'Transaction Data'!$E:$E,$A6)/1000</f>
        <v>0</v>
      </c>
      <c r="K6" s="186">
        <f>SUMIFS('Transaction Data'!$K:$K,'Transaction Data'!$A:$A,K$5,'Transaction Data'!$E:$E,$A6)/1000</f>
        <v>0</v>
      </c>
      <c r="L6" s="186">
        <f>SUMIFS('Transaction Data'!$K:$K,'Transaction Data'!$A:$A,L$5,'Transaction Data'!$E:$E,$A6)/1000</f>
        <v>0</v>
      </c>
      <c r="M6" s="186">
        <f>SUMIFS('Transaction Data'!$K:$K,'Transaction Data'!$A:$A,M$5,'Transaction Data'!$E:$E,$A6)/1000</f>
        <v>0</v>
      </c>
      <c r="N6" s="186">
        <f>SUMIFS('Transaction Data'!$K:$K,'Transaction Data'!$A:$A,N$5,'Transaction Data'!$E:$E,$A6)/1000</f>
        <v>0</v>
      </c>
      <c r="O6" s="187">
        <f>SUM(C6:N6)</f>
        <v>0</v>
      </c>
      <c r="Q6" s="122">
        <f>$C$5</f>
        <v>44743</v>
      </c>
      <c r="R6" s="125">
        <f>IFERROR(C$29/C$28,0)</f>
        <v>0</v>
      </c>
      <c r="S6" s="125">
        <f>IFERROR(C$30/C$28,0)</f>
        <v>0</v>
      </c>
      <c r="T6" s="126">
        <f>IFERROR(AVERAGEIF($R$6:R6,"&lt;&gt;0.00"),0)</f>
        <v>0</v>
      </c>
    </row>
    <row r="7" spans="1:24" ht="17.25" hidden="1" customHeight="1">
      <c r="A7" s="109"/>
      <c r="B7" s="114">
        <f>SUMIFS('Transaction Data'!$K:$K,'Transaction Data'!$A:$A,B$5,'Transaction Data'!$E:$E,$A7)/1000</f>
        <v>0</v>
      </c>
      <c r="C7" s="186">
        <f>SUMIFS('Transaction Data'!$K:$K,'Transaction Data'!$A:$A,C$5,'Transaction Data'!$E:$E,$A7)/1000</f>
        <v>0</v>
      </c>
      <c r="D7" s="186">
        <f>SUMIFS('Transaction Data'!$K:$K,'Transaction Data'!$A:$A,D$5,'Transaction Data'!$E:$E,$A7)/1000</f>
        <v>0</v>
      </c>
      <c r="E7" s="186">
        <f>SUMIFS('Transaction Data'!$K:$K,'Transaction Data'!$A:$A,E$5,'Transaction Data'!$E:$E,$A7)/1000</f>
        <v>0</v>
      </c>
      <c r="F7" s="186">
        <f>SUMIFS('Transaction Data'!$K:$K,'Transaction Data'!$A:$A,F$5,'Transaction Data'!$E:$E,$A7)/1000</f>
        <v>0</v>
      </c>
      <c r="G7" s="186">
        <f>SUMIFS('Transaction Data'!$K:$K,'Transaction Data'!$A:$A,G$5,'Transaction Data'!$E:$E,$A7)/1000</f>
        <v>0</v>
      </c>
      <c r="H7" s="186">
        <f>SUMIFS('Transaction Data'!$K:$K,'Transaction Data'!$A:$A,H$5,'Transaction Data'!$E:$E,$A7)/1000</f>
        <v>0</v>
      </c>
      <c r="I7" s="186">
        <f>SUMIFS('Transaction Data'!$K:$K,'Transaction Data'!$A:$A,I$5,'Transaction Data'!$E:$E,$A7)/1000</f>
        <v>0</v>
      </c>
      <c r="J7" s="186">
        <f>SUMIFS('Transaction Data'!$K:$K,'Transaction Data'!$A:$A,J$5,'Transaction Data'!$E:$E,$A7)/1000</f>
        <v>0</v>
      </c>
      <c r="K7" s="186">
        <f>SUMIFS('Transaction Data'!$K:$K,'Transaction Data'!$A:$A,K$5,'Transaction Data'!$E:$E,$A7)/1000</f>
        <v>0</v>
      </c>
      <c r="L7" s="186">
        <f>SUMIFS('Transaction Data'!$K:$K,'Transaction Data'!$A:$A,L$5,'Transaction Data'!$E:$E,$A7)/1000</f>
        <v>0</v>
      </c>
      <c r="M7" s="186">
        <f>SUMIFS('Transaction Data'!$K:$K,'Transaction Data'!$A:$A,M$5,'Transaction Data'!$E:$E,$A7)/1000</f>
        <v>0</v>
      </c>
      <c r="N7" s="186">
        <f>SUMIFS('Transaction Data'!$K:$K,'Transaction Data'!$A:$A,N$5,'Transaction Data'!$E:$E,$A7)/1000</f>
        <v>0</v>
      </c>
      <c r="O7" s="187">
        <f t="shared" ref="O7:O9" si="0">SUM(C7:N7)</f>
        <v>0</v>
      </c>
      <c r="Q7" s="122">
        <f>$D$5</f>
        <v>44774</v>
      </c>
      <c r="R7" s="125">
        <f>IFERROR(D$29/D$28,0)</f>
        <v>0</v>
      </c>
      <c r="S7" s="125">
        <f>IFERROR(D$30/D$28,0)</f>
        <v>0</v>
      </c>
      <c r="T7" s="126">
        <f>IFERROR(AVERAGEIF($R$6:R7,"&lt;&gt;0.00"),0)</f>
        <v>0</v>
      </c>
    </row>
    <row r="8" spans="1:24" ht="17.25" hidden="1" customHeight="1">
      <c r="A8" s="109"/>
      <c r="B8" s="114">
        <f>SUMIFS('Transaction Data'!$K:$K,'Transaction Data'!$A:$A,B$5,'Transaction Data'!$E:$E,$A8)/1000</f>
        <v>0</v>
      </c>
      <c r="C8" s="186">
        <f>SUMIFS('Transaction Data'!$K:$K,'Transaction Data'!$A:$A,C$5,'Transaction Data'!$E:$E,$A8)/1000</f>
        <v>0</v>
      </c>
      <c r="D8" s="186">
        <f>SUMIFS('Transaction Data'!$K:$K,'Transaction Data'!$A:$A,D$5,'Transaction Data'!$E:$E,$A8)/1000</f>
        <v>0</v>
      </c>
      <c r="E8" s="186">
        <f>SUMIFS('Transaction Data'!$K:$K,'Transaction Data'!$A:$A,E$5,'Transaction Data'!$E:$E,$A8)/1000</f>
        <v>0</v>
      </c>
      <c r="F8" s="186">
        <f>SUMIFS('Transaction Data'!$K:$K,'Transaction Data'!$A:$A,F$5,'Transaction Data'!$E:$E,$A8)/1000</f>
        <v>0</v>
      </c>
      <c r="G8" s="186">
        <f>SUMIFS('Transaction Data'!$K:$K,'Transaction Data'!$A:$A,G$5,'Transaction Data'!$E:$E,$A8)/1000</f>
        <v>0</v>
      </c>
      <c r="H8" s="186">
        <f>SUMIFS('Transaction Data'!$K:$K,'Transaction Data'!$A:$A,H$5,'Transaction Data'!$E:$E,$A8)/1000</f>
        <v>0</v>
      </c>
      <c r="I8" s="186">
        <f>SUMIFS('Transaction Data'!$K:$K,'Transaction Data'!$A:$A,I$5,'Transaction Data'!$E:$E,$A8)/1000</f>
        <v>0</v>
      </c>
      <c r="J8" s="186">
        <f>SUMIFS('Transaction Data'!$K:$K,'Transaction Data'!$A:$A,J$5,'Transaction Data'!$E:$E,$A8)/1000</f>
        <v>0</v>
      </c>
      <c r="K8" s="186">
        <f>SUMIFS('Transaction Data'!$K:$K,'Transaction Data'!$A:$A,K$5,'Transaction Data'!$E:$E,$A8)/1000</f>
        <v>0</v>
      </c>
      <c r="L8" s="186">
        <f>SUMIFS('Transaction Data'!$K:$K,'Transaction Data'!$A:$A,L$5,'Transaction Data'!$E:$E,$A8)/1000</f>
        <v>0</v>
      </c>
      <c r="M8" s="186">
        <f>SUMIFS('Transaction Data'!$K:$K,'Transaction Data'!$A:$A,M$5,'Transaction Data'!$E:$E,$A8)/1000</f>
        <v>0</v>
      </c>
      <c r="N8" s="186">
        <f>SUMIFS('Transaction Data'!$K:$K,'Transaction Data'!$A:$A,N$5,'Transaction Data'!$E:$E,$A8)/1000</f>
        <v>0</v>
      </c>
      <c r="O8" s="187">
        <f t="shared" si="0"/>
        <v>0</v>
      </c>
      <c r="Q8" s="122">
        <f>$E$5</f>
        <v>44805</v>
      </c>
      <c r="R8" s="125">
        <f>IFERROR(E$29/E$28,0)</f>
        <v>0</v>
      </c>
      <c r="S8" s="125">
        <f>IFERROR(E$30/E$28,0)</f>
        <v>0</v>
      </c>
      <c r="T8" s="126">
        <f>IFERROR(AVERAGEIF($R$6:R8,"&lt;&gt;0.00"),0)</f>
        <v>0</v>
      </c>
    </row>
    <row r="9" spans="1:24" ht="17.25" hidden="1" customHeight="1">
      <c r="A9" s="109"/>
      <c r="B9" s="114">
        <f>SUMIFS('Transaction Data'!$K:$K,'Transaction Data'!$A:$A,B$5,'Transaction Data'!$E:$E,$A9)/1000</f>
        <v>0</v>
      </c>
      <c r="C9" s="186">
        <f>SUMIFS('Transaction Data'!$K:$K,'Transaction Data'!$A:$A,C$5,'Transaction Data'!$E:$E,$A9)/1000</f>
        <v>0</v>
      </c>
      <c r="D9" s="186">
        <f>SUMIFS('Transaction Data'!$K:$K,'Transaction Data'!$A:$A,D$5,'Transaction Data'!$E:$E,$A9)/1000</f>
        <v>0</v>
      </c>
      <c r="E9" s="186">
        <f>SUMIFS('Transaction Data'!$K:$K,'Transaction Data'!$A:$A,E$5,'Transaction Data'!$E:$E,$A9)/1000</f>
        <v>0</v>
      </c>
      <c r="F9" s="186">
        <f>SUMIFS('Transaction Data'!$K:$K,'Transaction Data'!$A:$A,F$5,'Transaction Data'!$E:$E,$A9)/1000</f>
        <v>0</v>
      </c>
      <c r="G9" s="186">
        <f>SUMIFS('Transaction Data'!$K:$K,'Transaction Data'!$A:$A,G$5,'Transaction Data'!$E:$E,$A9)/1000</f>
        <v>0</v>
      </c>
      <c r="H9" s="186">
        <f>SUMIFS('Transaction Data'!$K:$K,'Transaction Data'!$A:$A,H$5,'Transaction Data'!$E:$E,$A9)/1000</f>
        <v>0</v>
      </c>
      <c r="I9" s="186">
        <f>SUMIFS('Transaction Data'!$K:$K,'Transaction Data'!$A:$A,I$5,'Transaction Data'!$E:$E,$A9)/1000</f>
        <v>0</v>
      </c>
      <c r="J9" s="186">
        <f>SUMIFS('Transaction Data'!$K:$K,'Transaction Data'!$A:$A,J$5,'Transaction Data'!$E:$E,$A9)/1000</f>
        <v>0</v>
      </c>
      <c r="K9" s="186">
        <f>SUMIFS('Transaction Data'!$K:$K,'Transaction Data'!$A:$A,K$5,'Transaction Data'!$E:$E,$A9)/1000</f>
        <v>0</v>
      </c>
      <c r="L9" s="186">
        <f>SUMIFS('Transaction Data'!$K:$K,'Transaction Data'!$A:$A,L$5,'Transaction Data'!$E:$E,$A9)/1000</f>
        <v>0</v>
      </c>
      <c r="M9" s="186">
        <f>SUMIFS('Transaction Data'!$K:$K,'Transaction Data'!$A:$A,M$5,'Transaction Data'!$E:$E,$A9)/1000</f>
        <v>0</v>
      </c>
      <c r="N9" s="186">
        <f>SUMIFS('Transaction Data'!$K:$K,'Transaction Data'!$A:$A,N$5,'Transaction Data'!$E:$E,$A9)/1000</f>
        <v>0</v>
      </c>
      <c r="O9" s="187">
        <f t="shared" si="0"/>
        <v>0</v>
      </c>
      <c r="Q9" s="122">
        <f>$F$5</f>
        <v>44835</v>
      </c>
      <c r="R9" s="125">
        <f>IFERROR(F$29/F$28,0)</f>
        <v>0</v>
      </c>
      <c r="S9" s="125">
        <f>IFERROR(F$30/F$28,0)</f>
        <v>0</v>
      </c>
      <c r="T9" s="126">
        <f>IFERROR(AVERAGEIF($R$6:R9,"&lt;&gt;0.00"),0)</f>
        <v>0</v>
      </c>
    </row>
    <row r="10" spans="1:24" ht="17.25" hidden="1" customHeight="1">
      <c r="A10" s="109"/>
      <c r="B10" s="114">
        <f>SUMIFS('Transaction Data'!$K:$K,'Transaction Data'!$A:$A,B$5,'Transaction Data'!$E:$E,$A10)/1000</f>
        <v>0</v>
      </c>
      <c r="C10" s="186">
        <f>SUMIFS('Transaction Data'!$K:$K,'Transaction Data'!$A:$A,C$5,'Transaction Data'!$E:$E,$A10)/1000</f>
        <v>0</v>
      </c>
      <c r="D10" s="186">
        <f>SUMIFS('Transaction Data'!$K:$K,'Transaction Data'!$A:$A,D$5,'Transaction Data'!$E:$E,$A10)/1000</f>
        <v>0</v>
      </c>
      <c r="E10" s="186">
        <f>SUMIFS('Transaction Data'!$K:$K,'Transaction Data'!$A:$A,E$5,'Transaction Data'!$E:$E,$A10)/1000</f>
        <v>0</v>
      </c>
      <c r="F10" s="186">
        <f>SUMIFS('Transaction Data'!$K:$K,'Transaction Data'!$A:$A,F$5,'Transaction Data'!$E:$E,$A10)/1000</f>
        <v>0</v>
      </c>
      <c r="G10" s="186">
        <f>SUMIFS('Transaction Data'!$K:$K,'Transaction Data'!$A:$A,G$5,'Transaction Data'!$E:$E,$A10)/1000</f>
        <v>0</v>
      </c>
      <c r="H10" s="186">
        <f>SUMIFS('Transaction Data'!$K:$K,'Transaction Data'!$A:$A,H$5,'Transaction Data'!$E:$E,$A10)/1000</f>
        <v>0</v>
      </c>
      <c r="I10" s="186">
        <f>SUMIFS('Transaction Data'!$K:$K,'Transaction Data'!$A:$A,I$5,'Transaction Data'!$E:$E,$A10)/1000</f>
        <v>0</v>
      </c>
      <c r="J10" s="186">
        <f>SUMIFS('Transaction Data'!$K:$K,'Transaction Data'!$A:$A,J$5,'Transaction Data'!$E:$E,$A10)/1000</f>
        <v>0</v>
      </c>
      <c r="K10" s="186">
        <f>SUMIFS('Transaction Data'!$K:$K,'Transaction Data'!$A:$A,K$5,'Transaction Data'!$E:$E,$A10)/1000</f>
        <v>0</v>
      </c>
      <c r="L10" s="186">
        <f>SUMIFS('Transaction Data'!$K:$K,'Transaction Data'!$A:$A,L$5,'Transaction Data'!$E:$E,$A10)/1000</f>
        <v>0</v>
      </c>
      <c r="M10" s="186">
        <f>SUMIFS('Transaction Data'!$K:$K,'Transaction Data'!$A:$A,M$5,'Transaction Data'!$E:$E,$A10)/1000</f>
        <v>0</v>
      </c>
      <c r="N10" s="186">
        <f>SUMIFS('Transaction Data'!$K:$K,'Transaction Data'!$A:$A,N$5,'Transaction Data'!$E:$E,$A10)/1000</f>
        <v>0</v>
      </c>
      <c r="O10" s="187">
        <f t="shared" ref="O10:O14" si="1">SUM(C10:N10)</f>
        <v>0</v>
      </c>
      <c r="Q10" s="122">
        <f>$G$5</f>
        <v>44866</v>
      </c>
      <c r="R10" s="125">
        <f>IFERROR(G$29/G$28,0)</f>
        <v>0</v>
      </c>
      <c r="S10" s="125">
        <f>IFERROR(G$30/G$28,0)</f>
        <v>0</v>
      </c>
      <c r="T10" s="126">
        <f>IFERROR(AVERAGEIF($R$6:R10,"&lt;&gt;0.00"),0)</f>
        <v>0</v>
      </c>
    </row>
    <row r="11" spans="1:24" ht="17.25" customHeight="1">
      <c r="A11" s="110" t="s">
        <v>100</v>
      </c>
      <c r="B11" s="114">
        <f>SUMIFS('Transaction Data'!$K:$K,'Transaction Data'!$A:$A,B$5,'Transaction Data'!$E:$E,$A11)/1000</f>
        <v>0</v>
      </c>
      <c r="C11" s="186">
        <f>SUMIFS('Transaction Data'!$K:$K,'Transaction Data'!$A:$A,C$5,'Transaction Data'!$E:$E,$A11)/1000</f>
        <v>0</v>
      </c>
      <c r="D11" s="186">
        <f>SUMIFS('Transaction Data'!$K:$K,'Transaction Data'!$A:$A,D$5,'Transaction Data'!$E:$E,$A11)/1000</f>
        <v>0</v>
      </c>
      <c r="E11" s="186">
        <f>SUMIFS('Transaction Data'!$K:$K,'Transaction Data'!$A:$A,E$5,'Transaction Data'!$E:$E,$A11)/1000</f>
        <v>0</v>
      </c>
      <c r="F11" s="186">
        <f>SUMIFS('Transaction Data'!$K:$K,'Transaction Data'!$A:$A,F$5,'Transaction Data'!$E:$E,$A11)/1000</f>
        <v>0</v>
      </c>
      <c r="G11" s="186">
        <f>SUMIFS('Transaction Data'!$K:$K,'Transaction Data'!$A:$A,G$5,'Transaction Data'!$E:$E,$A11)/1000</f>
        <v>0</v>
      </c>
      <c r="H11" s="186">
        <f>SUMIFS('Transaction Data'!$K:$K,'Transaction Data'!$A:$A,H$5,'Transaction Data'!$E:$E,$A11)/1000</f>
        <v>0</v>
      </c>
      <c r="I11" s="186">
        <f>SUMIFS('Transaction Data'!$K:$K,'Transaction Data'!$A:$A,I$5,'Transaction Data'!$E:$E,$A11)/1000</f>
        <v>0</v>
      </c>
      <c r="J11" s="186">
        <f>SUMIFS('Transaction Data'!$K:$K,'Transaction Data'!$A:$A,J$5,'Transaction Data'!$E:$E,$A11)/1000</f>
        <v>0</v>
      </c>
      <c r="K11" s="186">
        <f>SUMIFS('Transaction Data'!$K:$K,'Transaction Data'!$A:$A,K$5,'Transaction Data'!$E:$E,$A11)/1000</f>
        <v>0</v>
      </c>
      <c r="L11" s="186">
        <f>SUMIFS('Transaction Data'!$K:$K,'Transaction Data'!$A:$A,L$5,'Transaction Data'!$E:$E,$A11)/1000</f>
        <v>0</v>
      </c>
      <c r="M11" s="186">
        <f>SUMIFS('Transaction Data'!$K:$K,'Transaction Data'!$A:$A,M$5,'Transaction Data'!$E:$E,$A11)/1000</f>
        <v>0</v>
      </c>
      <c r="N11" s="186">
        <f>SUMIFS('Transaction Data'!$K:$K,'Transaction Data'!$A:$A,N$5,'Transaction Data'!$E:$E,$A11)/1000</f>
        <v>0</v>
      </c>
      <c r="O11" s="187">
        <f t="shared" si="1"/>
        <v>0</v>
      </c>
      <c r="Q11" s="122">
        <f>$H$5</f>
        <v>44896</v>
      </c>
      <c r="R11" s="125">
        <f>IFERROR(H$29/H$28,0)</f>
        <v>0</v>
      </c>
      <c r="S11" s="125">
        <f>IFERROR(H$30/H$28,0)</f>
        <v>0</v>
      </c>
      <c r="T11" s="126">
        <f>IFERROR(AVERAGEIF($R$6:R11,"&lt;&gt;0.00"),0)</f>
        <v>0</v>
      </c>
    </row>
    <row r="12" spans="1:24" ht="17.25" hidden="1" customHeight="1">
      <c r="A12" s="110" t="s">
        <v>101</v>
      </c>
      <c r="B12" s="114">
        <f>SUMIFS('Transaction Data'!$K:$K,'Transaction Data'!$A:$A,B$5,'Transaction Data'!$E:$E,$A12)/1000</f>
        <v>0</v>
      </c>
      <c r="C12" s="186">
        <f>SUMIFS('Transaction Data'!$K:$K,'Transaction Data'!$A:$A,C$5,'Transaction Data'!$E:$E,$A12)/1000</f>
        <v>0</v>
      </c>
      <c r="D12" s="186">
        <f>SUMIFS('Transaction Data'!$K:$K,'Transaction Data'!$A:$A,D$5,'Transaction Data'!$E:$E,$A12)/1000</f>
        <v>0</v>
      </c>
      <c r="E12" s="186">
        <f>SUMIFS('Transaction Data'!$K:$K,'Transaction Data'!$A:$A,E$5,'Transaction Data'!$E:$E,$A12)/1000</f>
        <v>0</v>
      </c>
      <c r="F12" s="186">
        <f>SUMIFS('Transaction Data'!$K:$K,'Transaction Data'!$A:$A,F$5,'Transaction Data'!$E:$E,$A12)/1000</f>
        <v>0</v>
      </c>
      <c r="G12" s="186">
        <f>SUMIFS('Transaction Data'!$K:$K,'Transaction Data'!$A:$A,G$5,'Transaction Data'!$E:$E,$A12)/1000</f>
        <v>0</v>
      </c>
      <c r="H12" s="186">
        <f>SUMIFS('Transaction Data'!$K:$K,'Transaction Data'!$A:$A,H$5,'Transaction Data'!$E:$E,$A12)/1000</f>
        <v>0</v>
      </c>
      <c r="I12" s="186">
        <f>SUMIFS('Transaction Data'!$K:$K,'Transaction Data'!$A:$A,I$5,'Transaction Data'!$E:$E,$A12)/1000</f>
        <v>0</v>
      </c>
      <c r="J12" s="186">
        <f>SUMIFS('Transaction Data'!$K:$K,'Transaction Data'!$A:$A,J$5,'Transaction Data'!$E:$E,$A12)/1000</f>
        <v>0</v>
      </c>
      <c r="K12" s="186">
        <f>SUMIFS('Transaction Data'!$K:$K,'Transaction Data'!$A:$A,K$5,'Transaction Data'!$E:$E,$A12)/1000</f>
        <v>0</v>
      </c>
      <c r="L12" s="186">
        <f>SUMIFS('Transaction Data'!$K:$K,'Transaction Data'!$A:$A,L$5,'Transaction Data'!$E:$E,$A12)/1000</f>
        <v>0</v>
      </c>
      <c r="M12" s="186">
        <f>SUMIFS('Transaction Data'!$K:$K,'Transaction Data'!$A:$A,M$5,'Transaction Data'!$E:$E,$A12)/1000</f>
        <v>0</v>
      </c>
      <c r="N12" s="186">
        <f>SUMIFS('Transaction Data'!$K:$K,'Transaction Data'!$A:$A,N$5,'Transaction Data'!$E:$E,$A12)/1000</f>
        <v>0</v>
      </c>
      <c r="O12" s="187">
        <f t="shared" si="1"/>
        <v>0</v>
      </c>
      <c r="Q12" s="122">
        <f>$I$5</f>
        <v>44927</v>
      </c>
      <c r="R12" s="125">
        <f>IFERROR(I$29/I$28,0)</f>
        <v>0</v>
      </c>
      <c r="S12" s="125">
        <f>IFERROR(I$30/I$28,0)</f>
        <v>0</v>
      </c>
      <c r="T12" s="126">
        <f>IFERROR(AVERAGEIF($R$6:R12,"&lt;&gt;0.00"),0)</f>
        <v>0</v>
      </c>
    </row>
    <row r="13" spans="1:24" ht="17.25" hidden="1" customHeight="1">
      <c r="A13" s="110" t="s">
        <v>102</v>
      </c>
      <c r="B13" s="114">
        <f>SUMIFS('Transaction Data'!$K:$K,'Transaction Data'!$A:$A,B$5,'Transaction Data'!$E:$E,$A13)/1000</f>
        <v>0</v>
      </c>
      <c r="C13" s="186">
        <f>SUMIFS('Transaction Data'!$K:$K,'Transaction Data'!$A:$A,C$5,'Transaction Data'!$E:$E,$A13)/1000</f>
        <v>0</v>
      </c>
      <c r="D13" s="186">
        <f>SUMIFS('Transaction Data'!$K:$K,'Transaction Data'!$A:$A,D$5,'Transaction Data'!$E:$E,$A13)/1000</f>
        <v>0</v>
      </c>
      <c r="E13" s="186">
        <f>SUMIFS('Transaction Data'!$K:$K,'Transaction Data'!$A:$A,E$5,'Transaction Data'!$E:$E,$A13)/1000</f>
        <v>0</v>
      </c>
      <c r="F13" s="186">
        <f>SUMIFS('Transaction Data'!$K:$K,'Transaction Data'!$A:$A,F$5,'Transaction Data'!$E:$E,$A13)/1000</f>
        <v>0</v>
      </c>
      <c r="G13" s="186">
        <f>SUMIFS('Transaction Data'!$K:$K,'Transaction Data'!$A:$A,G$5,'Transaction Data'!$E:$E,$A13)/1000</f>
        <v>0</v>
      </c>
      <c r="H13" s="186">
        <f>SUMIFS('Transaction Data'!$K:$K,'Transaction Data'!$A:$A,H$5,'Transaction Data'!$E:$E,$A13)/1000</f>
        <v>0</v>
      </c>
      <c r="I13" s="186">
        <f>SUMIFS('Transaction Data'!$K:$K,'Transaction Data'!$A:$A,I$5,'Transaction Data'!$E:$E,$A13)/1000</f>
        <v>0</v>
      </c>
      <c r="J13" s="186">
        <f>SUMIFS('Transaction Data'!$K:$K,'Transaction Data'!$A:$A,J$5,'Transaction Data'!$E:$E,$A13)/1000</f>
        <v>0</v>
      </c>
      <c r="K13" s="186">
        <f>SUMIFS('Transaction Data'!$K:$K,'Transaction Data'!$A:$A,K$5,'Transaction Data'!$E:$E,$A13)/1000</f>
        <v>0</v>
      </c>
      <c r="L13" s="186">
        <f>SUMIFS('Transaction Data'!$K:$K,'Transaction Data'!$A:$A,L$5,'Transaction Data'!$E:$E,$A13)/1000</f>
        <v>0</v>
      </c>
      <c r="M13" s="186">
        <f>SUMIFS('Transaction Data'!$K:$K,'Transaction Data'!$A:$A,M$5,'Transaction Data'!$E:$E,$A13)/1000</f>
        <v>0</v>
      </c>
      <c r="N13" s="186">
        <f>SUMIFS('Transaction Data'!$K:$K,'Transaction Data'!$A:$A,N$5,'Transaction Data'!$E:$E,$A13)/1000</f>
        <v>0</v>
      </c>
      <c r="O13" s="187">
        <f t="shared" si="1"/>
        <v>0</v>
      </c>
      <c r="Q13" s="122">
        <f>$J$5</f>
        <v>44958</v>
      </c>
      <c r="R13" s="125">
        <f>IFERROR(J$29/J$28,0)</f>
        <v>0</v>
      </c>
      <c r="S13" s="125">
        <f>IFERROR(J$30/J$28,0)</f>
        <v>0</v>
      </c>
      <c r="T13" s="126">
        <f>IFERROR(AVERAGEIF($R$6:R13,"&lt;&gt;0.00"),0)</f>
        <v>0</v>
      </c>
    </row>
    <row r="14" spans="1:24" ht="17.25" hidden="1" customHeight="1">
      <c r="A14" s="110" t="s">
        <v>103</v>
      </c>
      <c r="B14" s="114">
        <f>SUMIFS('Transaction Data'!$K:$K,'Transaction Data'!$A:$A,B$5,'Transaction Data'!$E:$E,$A14)/1000</f>
        <v>0</v>
      </c>
      <c r="C14" s="186">
        <f>SUMIFS('Transaction Data'!$K:$K,'Transaction Data'!$A:$A,C$5,'Transaction Data'!$E:$E,$A14)/1000</f>
        <v>0</v>
      </c>
      <c r="D14" s="186">
        <f>SUMIFS('Transaction Data'!$K:$K,'Transaction Data'!$A:$A,D$5,'Transaction Data'!$E:$E,$A14)/1000</f>
        <v>0</v>
      </c>
      <c r="E14" s="186">
        <f>SUMIFS('Transaction Data'!$K:$K,'Transaction Data'!$A:$A,E$5,'Transaction Data'!$E:$E,$A14)/1000</f>
        <v>0</v>
      </c>
      <c r="F14" s="186">
        <f>SUMIFS('Transaction Data'!$K:$K,'Transaction Data'!$A:$A,F$5,'Transaction Data'!$E:$E,$A14)/1000</f>
        <v>0</v>
      </c>
      <c r="G14" s="186">
        <f>SUMIFS('Transaction Data'!$K:$K,'Transaction Data'!$A:$A,G$5,'Transaction Data'!$E:$E,$A14)/1000</f>
        <v>0</v>
      </c>
      <c r="H14" s="186">
        <f>SUMIFS('Transaction Data'!$K:$K,'Transaction Data'!$A:$A,H$5,'Transaction Data'!$E:$E,$A14)/1000</f>
        <v>0</v>
      </c>
      <c r="I14" s="186">
        <f>SUMIFS('Transaction Data'!$K:$K,'Transaction Data'!$A:$A,I$5,'Transaction Data'!$E:$E,$A14)/1000</f>
        <v>0</v>
      </c>
      <c r="J14" s="186">
        <f>SUMIFS('Transaction Data'!$K:$K,'Transaction Data'!$A:$A,J$5,'Transaction Data'!$E:$E,$A14)/1000</f>
        <v>0</v>
      </c>
      <c r="K14" s="186">
        <f>SUMIFS('Transaction Data'!$K:$K,'Transaction Data'!$A:$A,K$5,'Transaction Data'!$E:$E,$A14)/1000</f>
        <v>0</v>
      </c>
      <c r="L14" s="186">
        <f>SUMIFS('Transaction Data'!$K:$K,'Transaction Data'!$A:$A,L$5,'Transaction Data'!$E:$E,$A14)/1000</f>
        <v>0</v>
      </c>
      <c r="M14" s="186">
        <f>SUMIFS('Transaction Data'!$K:$K,'Transaction Data'!$A:$A,M$5,'Transaction Data'!$E:$E,$A14)/1000</f>
        <v>0</v>
      </c>
      <c r="N14" s="186">
        <f>SUMIFS('Transaction Data'!$K:$K,'Transaction Data'!$A:$A,N$5,'Transaction Data'!$E:$E,$A14)/1000</f>
        <v>0</v>
      </c>
      <c r="O14" s="187">
        <f t="shared" si="1"/>
        <v>0</v>
      </c>
      <c r="Q14" s="122">
        <f>$K$5</f>
        <v>44986</v>
      </c>
      <c r="R14" s="125">
        <f>IFERROR(K$29/K$28,0)</f>
        <v>0</v>
      </c>
      <c r="S14" s="125">
        <f>IFERROR(K$30/K$28,0)</f>
        <v>0</v>
      </c>
      <c r="T14" s="126">
        <f>IFERROR(AVERAGEIF($R$6:R14,"&lt;&gt;0.00"),0)</f>
        <v>0</v>
      </c>
    </row>
    <row r="15" spans="1:24" ht="17.25" hidden="1" customHeight="1">
      <c r="A15" s="110" t="s">
        <v>104</v>
      </c>
      <c r="B15" s="114">
        <f>SUMIFS('Transaction Data'!$K:$K,'Transaction Data'!$A:$A,B$5,'Transaction Data'!$E:$E,$A15)/1000</f>
        <v>0</v>
      </c>
      <c r="C15" s="186">
        <f>SUMIFS('Transaction Data'!$K:$K,'Transaction Data'!$A:$A,C$5,'Transaction Data'!$E:$E,$A15)/1000</f>
        <v>0</v>
      </c>
      <c r="D15" s="186">
        <f>SUMIFS('Transaction Data'!$K:$K,'Transaction Data'!$A:$A,D$5,'Transaction Data'!$E:$E,$A15)/1000</f>
        <v>0</v>
      </c>
      <c r="E15" s="186">
        <f>SUMIFS('Transaction Data'!$K:$K,'Transaction Data'!$A:$A,E$5,'Transaction Data'!$E:$E,$A15)/1000</f>
        <v>0</v>
      </c>
      <c r="F15" s="186">
        <f>SUMIFS('Transaction Data'!$K:$K,'Transaction Data'!$A:$A,F$5,'Transaction Data'!$E:$E,$A15)/1000</f>
        <v>0</v>
      </c>
      <c r="G15" s="186">
        <f>SUMIFS('Transaction Data'!$K:$K,'Transaction Data'!$A:$A,G$5,'Transaction Data'!$E:$E,$A15)/1000</f>
        <v>0</v>
      </c>
      <c r="H15" s="186">
        <f>SUMIFS('Transaction Data'!$K:$K,'Transaction Data'!$A:$A,H$5,'Transaction Data'!$E:$E,$A15)/1000</f>
        <v>0</v>
      </c>
      <c r="I15" s="186">
        <f>SUMIFS('Transaction Data'!$K:$K,'Transaction Data'!$A:$A,I$5,'Transaction Data'!$E:$E,$A15)/1000</f>
        <v>0</v>
      </c>
      <c r="J15" s="186">
        <f>SUMIFS('Transaction Data'!$K:$K,'Transaction Data'!$A:$A,J$5,'Transaction Data'!$E:$E,$A15)/1000</f>
        <v>0</v>
      </c>
      <c r="K15" s="186">
        <f>SUMIFS('Transaction Data'!$K:$K,'Transaction Data'!$A:$A,K$5,'Transaction Data'!$E:$E,$A15)/1000</f>
        <v>0</v>
      </c>
      <c r="L15" s="186">
        <f>SUMIFS('Transaction Data'!$K:$K,'Transaction Data'!$A:$A,L$5,'Transaction Data'!$E:$E,$A15)/1000</f>
        <v>0</v>
      </c>
      <c r="M15" s="186">
        <f>SUMIFS('Transaction Data'!$K:$K,'Transaction Data'!$A:$A,M$5,'Transaction Data'!$E:$E,$A15)/1000</f>
        <v>0</v>
      </c>
      <c r="N15" s="186">
        <f>SUMIFS('Transaction Data'!$K:$K,'Transaction Data'!$A:$A,N$5,'Transaction Data'!$E:$E,$A15)/1000</f>
        <v>0</v>
      </c>
      <c r="O15" s="187">
        <f t="shared" ref="O15:O27" si="2">SUM(C15:N15)</f>
        <v>0</v>
      </c>
      <c r="Q15" s="122">
        <f>$L$5</f>
        <v>45017</v>
      </c>
      <c r="R15" s="125">
        <f>IFERROR(L$29/L$28,0)</f>
        <v>0</v>
      </c>
      <c r="S15" s="125">
        <f>IFERROR(L$30/L$28,0)</f>
        <v>0</v>
      </c>
      <c r="T15" s="126">
        <f>IFERROR(AVERAGEIF($R$6:R15,"&lt;&gt;0.00"),0)</f>
        <v>0</v>
      </c>
    </row>
    <row r="16" spans="1:24" ht="17.25" hidden="1" customHeight="1">
      <c r="A16" s="110" t="s">
        <v>47</v>
      </c>
      <c r="B16" s="114">
        <f>SUMIFS('Transaction Data'!$K:$K,'Transaction Data'!$A:$A,B$5,'Transaction Data'!$E:$E,$A16)/1000</f>
        <v>0</v>
      </c>
      <c r="C16" s="186">
        <f>SUMIFS('Transaction Data'!$K:$K,'Transaction Data'!$A:$A,C$5,'Transaction Data'!$E:$E,$A16)/1000</f>
        <v>0</v>
      </c>
      <c r="D16" s="186">
        <f>SUMIFS('Transaction Data'!$K:$K,'Transaction Data'!$A:$A,D$5,'Transaction Data'!$E:$E,$A16)/1000</f>
        <v>0</v>
      </c>
      <c r="E16" s="186">
        <f>SUMIFS('Transaction Data'!$K:$K,'Transaction Data'!$A:$A,E$5,'Transaction Data'!$E:$E,$A16)/1000</f>
        <v>0</v>
      </c>
      <c r="F16" s="186">
        <f>SUMIFS('Transaction Data'!$K:$K,'Transaction Data'!$A:$A,F$5,'Transaction Data'!$E:$E,$A16)/1000</f>
        <v>0</v>
      </c>
      <c r="G16" s="186">
        <f>SUMIFS('Transaction Data'!$K:$K,'Transaction Data'!$A:$A,G$5,'Transaction Data'!$E:$E,$A16)/1000</f>
        <v>0</v>
      </c>
      <c r="H16" s="186">
        <f>SUMIFS('Transaction Data'!$K:$K,'Transaction Data'!$A:$A,H$5,'Transaction Data'!$E:$E,$A16)/1000</f>
        <v>0</v>
      </c>
      <c r="I16" s="186">
        <f>SUMIFS('Transaction Data'!$K:$K,'Transaction Data'!$A:$A,I$5,'Transaction Data'!$E:$E,$A16)/1000</f>
        <v>0</v>
      </c>
      <c r="J16" s="186">
        <f>SUMIFS('Transaction Data'!$K:$K,'Transaction Data'!$A:$A,J$5,'Transaction Data'!$E:$E,$A16)/1000</f>
        <v>0</v>
      </c>
      <c r="K16" s="186">
        <f>SUMIFS('Transaction Data'!$K:$K,'Transaction Data'!$A:$A,K$5,'Transaction Data'!$E:$E,$A16)/1000</f>
        <v>0</v>
      </c>
      <c r="L16" s="186">
        <f>SUMIFS('Transaction Data'!$K:$K,'Transaction Data'!$A:$A,L$5,'Transaction Data'!$E:$E,$A16)/1000</f>
        <v>0</v>
      </c>
      <c r="M16" s="186">
        <f>SUMIFS('Transaction Data'!$K:$K,'Transaction Data'!$A:$A,M$5,'Transaction Data'!$E:$E,$A16)/1000</f>
        <v>0</v>
      </c>
      <c r="N16" s="186">
        <f>SUMIFS('Transaction Data'!$K:$K,'Transaction Data'!$A:$A,N$5,'Transaction Data'!$E:$E,$A16)/1000</f>
        <v>0</v>
      </c>
      <c r="O16" s="187">
        <f t="shared" si="2"/>
        <v>0</v>
      </c>
      <c r="Q16" s="122">
        <f>$M$5</f>
        <v>45047</v>
      </c>
      <c r="R16" s="125">
        <f>IFERROR(M$29/M$28,0)</f>
        <v>0</v>
      </c>
      <c r="S16" s="125">
        <f>IFERROR(M$30/M$28,0)</f>
        <v>0</v>
      </c>
      <c r="T16" s="126">
        <f>IFERROR(AVERAGEIF($R$6:R16,"&lt;&gt;0.00"),0)</f>
        <v>0</v>
      </c>
    </row>
    <row r="17" spans="1:20" ht="17.25" hidden="1" customHeight="1">
      <c r="A17" s="110" t="s">
        <v>105</v>
      </c>
      <c r="B17" s="114">
        <f>SUMIFS('Transaction Data'!$K:$K,'Transaction Data'!$A:$A,B$5,'Transaction Data'!$E:$E,$A17)/1000</f>
        <v>0</v>
      </c>
      <c r="C17" s="186">
        <f>SUMIFS('Transaction Data'!$K:$K,'Transaction Data'!$A:$A,C$5,'Transaction Data'!$E:$E,$A17)/1000</f>
        <v>0</v>
      </c>
      <c r="D17" s="186">
        <f>SUMIFS('Transaction Data'!$K:$K,'Transaction Data'!$A:$A,D$5,'Transaction Data'!$E:$E,$A17)/1000</f>
        <v>0</v>
      </c>
      <c r="E17" s="186">
        <f>SUMIFS('Transaction Data'!$K:$K,'Transaction Data'!$A:$A,E$5,'Transaction Data'!$E:$E,$A17)/1000</f>
        <v>0</v>
      </c>
      <c r="F17" s="186">
        <f>SUMIFS('Transaction Data'!$K:$K,'Transaction Data'!$A:$A,F$5,'Transaction Data'!$E:$E,$A17)/1000</f>
        <v>0</v>
      </c>
      <c r="G17" s="186">
        <f>SUMIFS('Transaction Data'!$K:$K,'Transaction Data'!$A:$A,G$5,'Transaction Data'!$E:$E,$A17)/1000</f>
        <v>0</v>
      </c>
      <c r="H17" s="186">
        <f>SUMIFS('Transaction Data'!$K:$K,'Transaction Data'!$A:$A,H$5,'Transaction Data'!$E:$E,$A17)/1000</f>
        <v>0</v>
      </c>
      <c r="I17" s="186">
        <f>SUMIFS('Transaction Data'!$K:$K,'Transaction Data'!$A:$A,I$5,'Transaction Data'!$E:$E,$A17)/1000</f>
        <v>0</v>
      </c>
      <c r="J17" s="186">
        <f>SUMIFS('Transaction Data'!$K:$K,'Transaction Data'!$A:$A,J$5,'Transaction Data'!$E:$E,$A17)/1000</f>
        <v>0</v>
      </c>
      <c r="K17" s="186">
        <f>SUMIFS('Transaction Data'!$K:$K,'Transaction Data'!$A:$A,K$5,'Transaction Data'!$E:$E,$A17)/1000</f>
        <v>0</v>
      </c>
      <c r="L17" s="186">
        <f>SUMIFS('Transaction Data'!$K:$K,'Transaction Data'!$A:$A,L$5,'Transaction Data'!$E:$E,$A17)/1000</f>
        <v>0</v>
      </c>
      <c r="M17" s="186">
        <f>SUMIFS('Transaction Data'!$K:$K,'Transaction Data'!$A:$A,M$5,'Transaction Data'!$E:$E,$A17)/1000</f>
        <v>0</v>
      </c>
      <c r="N17" s="186">
        <f>SUMIFS('Transaction Data'!$K:$K,'Transaction Data'!$A:$A,N$5,'Transaction Data'!$E:$E,$A17)/1000</f>
        <v>0</v>
      </c>
      <c r="O17" s="187">
        <f t="shared" si="2"/>
        <v>0</v>
      </c>
      <c r="Q17" s="122">
        <f>$N$5</f>
        <v>45078</v>
      </c>
      <c r="R17" s="125">
        <f>IFERROR(N$29/N$28,0)</f>
        <v>0</v>
      </c>
      <c r="S17" s="125">
        <f>IFERROR(N$30/N$28,0)</f>
        <v>0</v>
      </c>
      <c r="T17" s="126">
        <f>IFERROR(AVERAGEIF($R$6:R17,"&lt;&gt;0.00"),0)</f>
        <v>0</v>
      </c>
    </row>
    <row r="18" spans="1:20" ht="17.25" hidden="1" customHeight="1">
      <c r="A18" s="110" t="s">
        <v>106</v>
      </c>
      <c r="B18" s="114">
        <f>SUMIFS('Transaction Data'!$K:$K,'Transaction Data'!$A:$A,B$5,'Transaction Data'!$E:$E,$A18)/1000</f>
        <v>0</v>
      </c>
      <c r="C18" s="186">
        <f>SUMIFS('Transaction Data'!$K:$K,'Transaction Data'!$A:$A,C$5,'Transaction Data'!$E:$E,$A18)/1000</f>
        <v>0</v>
      </c>
      <c r="D18" s="186">
        <f>SUMIFS('Transaction Data'!$K:$K,'Transaction Data'!$A:$A,D$5,'Transaction Data'!$E:$E,$A18)/1000</f>
        <v>0</v>
      </c>
      <c r="E18" s="186">
        <f>SUMIFS('Transaction Data'!$K:$K,'Transaction Data'!$A:$A,E$5,'Transaction Data'!$E:$E,$A18)/1000</f>
        <v>0</v>
      </c>
      <c r="F18" s="186">
        <f>SUMIFS('Transaction Data'!$K:$K,'Transaction Data'!$A:$A,F$5,'Transaction Data'!$E:$E,$A18)/1000</f>
        <v>0</v>
      </c>
      <c r="G18" s="186">
        <f>SUMIFS('Transaction Data'!$K:$K,'Transaction Data'!$A:$A,G$5,'Transaction Data'!$E:$E,$A18)/1000</f>
        <v>0</v>
      </c>
      <c r="H18" s="186">
        <f>SUMIFS('Transaction Data'!$K:$K,'Transaction Data'!$A:$A,H$5,'Transaction Data'!$E:$E,$A18)/1000</f>
        <v>0</v>
      </c>
      <c r="I18" s="186">
        <f>SUMIFS('Transaction Data'!$K:$K,'Transaction Data'!$A:$A,I$5,'Transaction Data'!$E:$E,$A18)/1000</f>
        <v>0</v>
      </c>
      <c r="J18" s="186">
        <f>SUMIFS('Transaction Data'!$K:$K,'Transaction Data'!$A:$A,J$5,'Transaction Data'!$E:$E,$A18)/1000</f>
        <v>0</v>
      </c>
      <c r="K18" s="186">
        <f>SUMIFS('Transaction Data'!$K:$K,'Transaction Data'!$A:$A,K$5,'Transaction Data'!$E:$E,$A18)/1000</f>
        <v>0</v>
      </c>
      <c r="L18" s="186">
        <f>SUMIFS('Transaction Data'!$K:$K,'Transaction Data'!$A:$A,L$5,'Transaction Data'!$E:$E,$A18)/1000</f>
        <v>0</v>
      </c>
      <c r="M18" s="186">
        <f>SUMIFS('Transaction Data'!$K:$K,'Transaction Data'!$A:$A,M$5,'Transaction Data'!$E:$E,$A18)/1000</f>
        <v>0</v>
      </c>
      <c r="N18" s="186">
        <f>SUMIFS('Transaction Data'!$K:$K,'Transaction Data'!$A:$A,N$5,'Transaction Data'!$E:$E,$A18)/1000</f>
        <v>0</v>
      </c>
      <c r="O18" s="187">
        <f t="shared" si="2"/>
        <v>0</v>
      </c>
      <c r="Q18" s="122"/>
      <c r="R18" s="125"/>
      <c r="S18" s="125"/>
      <c r="T18" s="126"/>
    </row>
    <row r="19" spans="1:20" ht="17.25" customHeight="1">
      <c r="A19" s="110" t="s">
        <v>107</v>
      </c>
      <c r="B19" s="114">
        <f>SUMIFS('Transaction Data'!$K:$K,'Transaction Data'!$A:$A,B$5,'Transaction Data'!$E:$E,$A19)/1000</f>
        <v>0</v>
      </c>
      <c r="C19" s="186">
        <f>SUMIFS('Transaction Data'!$K:$K,'Transaction Data'!$A:$A,C$5,'Transaction Data'!$E:$E,$A19)/1000</f>
        <v>0</v>
      </c>
      <c r="D19" s="186">
        <f>SUMIFS('Transaction Data'!$K:$K,'Transaction Data'!$A:$A,D$5,'Transaction Data'!$E:$E,$A19)/1000</f>
        <v>0</v>
      </c>
      <c r="E19" s="186">
        <f>SUMIFS('Transaction Data'!$K:$K,'Transaction Data'!$A:$A,E$5,'Transaction Data'!$E:$E,$A19)/1000</f>
        <v>0</v>
      </c>
      <c r="F19" s="186">
        <f>SUMIFS('Transaction Data'!$K:$K,'Transaction Data'!$A:$A,F$5,'Transaction Data'!$E:$E,$A19)/1000</f>
        <v>0</v>
      </c>
      <c r="G19" s="186">
        <f>SUMIFS('Transaction Data'!$K:$K,'Transaction Data'!$A:$A,G$5,'Transaction Data'!$E:$E,$A19)/1000</f>
        <v>0</v>
      </c>
      <c r="H19" s="186">
        <f>SUMIFS('Transaction Data'!$K:$K,'Transaction Data'!$A:$A,H$5,'Transaction Data'!$E:$E,$A19)/1000</f>
        <v>0</v>
      </c>
      <c r="I19" s="186">
        <f>SUMIFS('Transaction Data'!$K:$K,'Transaction Data'!$A:$A,I$5,'Transaction Data'!$E:$E,$A19)/1000</f>
        <v>0</v>
      </c>
      <c r="J19" s="186">
        <f>SUMIFS('Transaction Data'!$K:$K,'Transaction Data'!$A:$A,J$5,'Transaction Data'!$E:$E,$A19)/1000</f>
        <v>0</v>
      </c>
      <c r="K19" s="186">
        <f>SUMIFS('Transaction Data'!$K:$K,'Transaction Data'!$A:$A,K$5,'Transaction Data'!$E:$E,$A19)/1000</f>
        <v>0</v>
      </c>
      <c r="L19" s="186">
        <f>SUMIFS('Transaction Data'!$K:$K,'Transaction Data'!$A:$A,L$5,'Transaction Data'!$E:$E,$A19)/1000</f>
        <v>0</v>
      </c>
      <c r="M19" s="186">
        <f>SUMIFS('Transaction Data'!$K:$K,'Transaction Data'!$A:$A,M$5,'Transaction Data'!$E:$E,$A19)/1000</f>
        <v>0</v>
      </c>
      <c r="N19" s="186">
        <f>SUMIFS('Transaction Data'!$K:$K,'Transaction Data'!$A:$A,N$5,'Transaction Data'!$E:$E,$A19)/1000</f>
        <v>0</v>
      </c>
      <c r="O19" s="187">
        <f t="shared" si="2"/>
        <v>0</v>
      </c>
      <c r="Q19" s="122"/>
      <c r="R19" s="125"/>
      <c r="S19" s="125"/>
      <c r="T19" s="126"/>
    </row>
    <row r="20" spans="1:20" ht="17.25" hidden="1" customHeight="1">
      <c r="A20" s="110"/>
      <c r="B20" s="114">
        <f>SUMIFS('Transaction Data'!$K:$K,'Transaction Data'!$A:$A,B$5,'Transaction Data'!$E:$E,$A20)/1000</f>
        <v>0</v>
      </c>
      <c r="C20" s="186">
        <f>SUMIFS('Transaction Data'!$K:$K,'Transaction Data'!$A:$A,C$5,'Transaction Data'!$E:$E,$A20)/1000</f>
        <v>0</v>
      </c>
      <c r="D20" s="186">
        <f>SUMIFS('Transaction Data'!$K:$K,'Transaction Data'!$A:$A,D$5,'Transaction Data'!$E:$E,$A20)/1000</f>
        <v>0</v>
      </c>
      <c r="E20" s="186">
        <f>SUMIFS('Transaction Data'!$K:$K,'Transaction Data'!$A:$A,E$5,'Transaction Data'!$E:$E,$A20)/1000</f>
        <v>0</v>
      </c>
      <c r="F20" s="186">
        <f>SUMIFS('Transaction Data'!$K:$K,'Transaction Data'!$A:$A,F$5,'Transaction Data'!$E:$E,$A20)/1000</f>
        <v>0</v>
      </c>
      <c r="G20" s="186">
        <f>SUMIFS('Transaction Data'!$K:$K,'Transaction Data'!$A:$A,G$5,'Transaction Data'!$E:$E,$A20)/1000</f>
        <v>0</v>
      </c>
      <c r="H20" s="186">
        <f>SUMIFS('Transaction Data'!$K:$K,'Transaction Data'!$A:$A,H$5,'Transaction Data'!$E:$E,$A20)/1000</f>
        <v>0</v>
      </c>
      <c r="I20" s="186">
        <f>SUMIFS('Transaction Data'!$K:$K,'Transaction Data'!$A:$A,I$5,'Transaction Data'!$E:$E,$A20)/1000</f>
        <v>0</v>
      </c>
      <c r="J20" s="186">
        <f>SUMIFS('Transaction Data'!$K:$K,'Transaction Data'!$A:$A,J$5,'Transaction Data'!$E:$E,$A20)/1000</f>
        <v>0</v>
      </c>
      <c r="K20" s="186">
        <f>SUMIFS('Transaction Data'!$K:$K,'Transaction Data'!$A:$A,K$5,'Transaction Data'!$E:$E,$A20)/1000</f>
        <v>0</v>
      </c>
      <c r="L20" s="186">
        <f>SUMIFS('Transaction Data'!$K:$K,'Transaction Data'!$A:$A,L$5,'Transaction Data'!$E:$E,$A20)/1000</f>
        <v>0</v>
      </c>
      <c r="M20" s="186">
        <f>SUMIFS('Transaction Data'!$K:$K,'Transaction Data'!$A:$A,M$5,'Transaction Data'!$E:$E,$A20)/1000</f>
        <v>0</v>
      </c>
      <c r="N20" s="186">
        <f>SUMIFS('Transaction Data'!$K:$K,'Transaction Data'!$A:$A,N$5,'Transaction Data'!$E:$E,$A20)/1000</f>
        <v>0</v>
      </c>
      <c r="O20" s="187">
        <f t="shared" si="2"/>
        <v>0</v>
      </c>
      <c r="Q20" s="122"/>
      <c r="R20" s="125"/>
      <c r="S20" s="125"/>
      <c r="T20" s="126"/>
    </row>
    <row r="21" spans="1:20" ht="17.25" hidden="1" customHeight="1">
      <c r="A21" s="110"/>
      <c r="B21" s="114">
        <f>SUMIFS('Transaction Data'!$K:$K,'Transaction Data'!$A:$A,B$5,'Transaction Data'!$E:$E,$A21)/1000</f>
        <v>0</v>
      </c>
      <c r="C21" s="186">
        <f>SUMIFS('Transaction Data'!$K:$K,'Transaction Data'!$A:$A,C$5,'Transaction Data'!$E:$E,$A21)/1000</f>
        <v>0</v>
      </c>
      <c r="D21" s="186">
        <f>SUMIFS('Transaction Data'!$K:$K,'Transaction Data'!$A:$A,D$5,'Transaction Data'!$E:$E,$A21)/1000</f>
        <v>0</v>
      </c>
      <c r="E21" s="186">
        <f>SUMIFS('Transaction Data'!$K:$K,'Transaction Data'!$A:$A,E$5,'Transaction Data'!$E:$E,$A21)/1000</f>
        <v>0</v>
      </c>
      <c r="F21" s="186">
        <f>SUMIFS('Transaction Data'!$K:$K,'Transaction Data'!$A:$A,F$5,'Transaction Data'!$E:$E,$A21)/1000</f>
        <v>0</v>
      </c>
      <c r="G21" s="186">
        <f>SUMIFS('Transaction Data'!$K:$K,'Transaction Data'!$A:$A,G$5,'Transaction Data'!$E:$E,$A21)/1000</f>
        <v>0</v>
      </c>
      <c r="H21" s="186">
        <f>SUMIFS('Transaction Data'!$K:$K,'Transaction Data'!$A:$A,H$5,'Transaction Data'!$E:$E,$A21)/1000</f>
        <v>0</v>
      </c>
      <c r="I21" s="186">
        <f>SUMIFS('Transaction Data'!$K:$K,'Transaction Data'!$A:$A,I$5,'Transaction Data'!$E:$E,$A21)/1000</f>
        <v>0</v>
      </c>
      <c r="J21" s="186">
        <f>SUMIFS('Transaction Data'!$K:$K,'Transaction Data'!$A:$A,J$5,'Transaction Data'!$E:$E,$A21)/1000</f>
        <v>0</v>
      </c>
      <c r="K21" s="186">
        <f>SUMIFS('Transaction Data'!$K:$K,'Transaction Data'!$A:$A,K$5,'Transaction Data'!$E:$E,$A21)/1000</f>
        <v>0</v>
      </c>
      <c r="L21" s="186">
        <f>SUMIFS('Transaction Data'!$K:$K,'Transaction Data'!$A:$A,L$5,'Transaction Data'!$E:$E,$A21)/1000</f>
        <v>0</v>
      </c>
      <c r="M21" s="186">
        <f>SUMIFS('Transaction Data'!$K:$K,'Transaction Data'!$A:$A,M$5,'Transaction Data'!$E:$E,$A21)/1000</f>
        <v>0</v>
      </c>
      <c r="N21" s="186">
        <f>SUMIFS('Transaction Data'!$K:$K,'Transaction Data'!$A:$A,N$5,'Transaction Data'!$E:$E,$A21)/1000</f>
        <v>0</v>
      </c>
      <c r="O21" s="187">
        <f t="shared" si="2"/>
        <v>0</v>
      </c>
      <c r="Q21" s="122"/>
      <c r="R21" s="125"/>
      <c r="S21" s="125"/>
      <c r="T21" s="126"/>
    </row>
    <row r="22" spans="1:20" ht="17.25" hidden="1" customHeight="1">
      <c r="A22" s="110"/>
      <c r="B22" s="114">
        <f>SUMIFS('Transaction Data'!$K:$K,'Transaction Data'!$A:$A,B$5,'Transaction Data'!$E:$E,$A22)/1000</f>
        <v>0</v>
      </c>
      <c r="C22" s="186">
        <f>SUMIFS('Transaction Data'!$K:$K,'Transaction Data'!$A:$A,C$5,'Transaction Data'!$E:$E,$A22)/1000</f>
        <v>0</v>
      </c>
      <c r="D22" s="186">
        <f>SUMIFS('Transaction Data'!$K:$K,'Transaction Data'!$A:$A,D$5,'Transaction Data'!$E:$E,$A22)/1000</f>
        <v>0</v>
      </c>
      <c r="E22" s="186">
        <f>SUMIFS('Transaction Data'!$K:$K,'Transaction Data'!$A:$A,E$5,'Transaction Data'!$E:$E,$A22)/1000</f>
        <v>0</v>
      </c>
      <c r="F22" s="186">
        <f>SUMIFS('Transaction Data'!$K:$K,'Transaction Data'!$A:$A,F$5,'Transaction Data'!$E:$E,$A22)/1000</f>
        <v>0</v>
      </c>
      <c r="G22" s="186">
        <f>SUMIFS('Transaction Data'!$K:$K,'Transaction Data'!$A:$A,G$5,'Transaction Data'!$E:$E,$A22)/1000</f>
        <v>0</v>
      </c>
      <c r="H22" s="186">
        <f>SUMIFS('Transaction Data'!$K:$K,'Transaction Data'!$A:$A,H$5,'Transaction Data'!$E:$E,$A22)/1000</f>
        <v>0</v>
      </c>
      <c r="I22" s="186">
        <f>SUMIFS('Transaction Data'!$K:$K,'Transaction Data'!$A:$A,I$5,'Transaction Data'!$E:$E,$A22)/1000</f>
        <v>0</v>
      </c>
      <c r="J22" s="186">
        <f>SUMIFS('Transaction Data'!$K:$K,'Transaction Data'!$A:$A,J$5,'Transaction Data'!$E:$E,$A22)/1000</f>
        <v>0</v>
      </c>
      <c r="K22" s="186">
        <f>SUMIFS('Transaction Data'!$K:$K,'Transaction Data'!$A:$A,K$5,'Transaction Data'!$E:$E,$A22)/1000</f>
        <v>0</v>
      </c>
      <c r="L22" s="186">
        <f>SUMIFS('Transaction Data'!$K:$K,'Transaction Data'!$A:$A,L$5,'Transaction Data'!$E:$E,$A22)/1000</f>
        <v>0</v>
      </c>
      <c r="M22" s="186">
        <f>SUMIFS('Transaction Data'!$K:$K,'Transaction Data'!$A:$A,M$5,'Transaction Data'!$E:$E,$A22)/1000</f>
        <v>0</v>
      </c>
      <c r="N22" s="186">
        <f>SUMIFS('Transaction Data'!$K:$K,'Transaction Data'!$A:$A,N$5,'Transaction Data'!$E:$E,$A22)/1000</f>
        <v>0</v>
      </c>
      <c r="O22" s="187">
        <f t="shared" si="2"/>
        <v>0</v>
      </c>
      <c r="Q22" s="122"/>
      <c r="R22" s="125"/>
      <c r="S22" s="125"/>
      <c r="T22" s="126"/>
    </row>
    <row r="23" spans="1:20" ht="17.25" hidden="1" customHeight="1">
      <c r="A23" s="110"/>
      <c r="B23" s="114">
        <f>SUMIFS('Transaction Data'!$K:$K,'Transaction Data'!$A:$A,B$5,'Transaction Data'!$E:$E,$A23)/1000</f>
        <v>0</v>
      </c>
      <c r="C23" s="186">
        <f>SUMIFS('Transaction Data'!$K:$K,'Transaction Data'!$A:$A,C$5,'Transaction Data'!$E:$E,$A23)/1000</f>
        <v>0</v>
      </c>
      <c r="D23" s="186">
        <f>SUMIFS('Transaction Data'!$K:$K,'Transaction Data'!$A:$A,D$5,'Transaction Data'!$E:$E,$A23)/1000</f>
        <v>0</v>
      </c>
      <c r="E23" s="186">
        <f>SUMIFS('Transaction Data'!$K:$K,'Transaction Data'!$A:$A,E$5,'Transaction Data'!$E:$E,$A23)/1000</f>
        <v>0</v>
      </c>
      <c r="F23" s="186">
        <f>SUMIFS('Transaction Data'!$K:$K,'Transaction Data'!$A:$A,F$5,'Transaction Data'!$E:$E,$A23)/1000</f>
        <v>0</v>
      </c>
      <c r="G23" s="186">
        <f>SUMIFS('Transaction Data'!$K:$K,'Transaction Data'!$A:$A,G$5,'Transaction Data'!$E:$E,$A23)/1000</f>
        <v>0</v>
      </c>
      <c r="H23" s="186">
        <f>SUMIFS('Transaction Data'!$K:$K,'Transaction Data'!$A:$A,H$5,'Transaction Data'!$E:$E,$A23)/1000</f>
        <v>0</v>
      </c>
      <c r="I23" s="186">
        <f>SUMIFS('Transaction Data'!$K:$K,'Transaction Data'!$A:$A,I$5,'Transaction Data'!$E:$E,$A23)/1000</f>
        <v>0</v>
      </c>
      <c r="J23" s="186">
        <f>SUMIFS('Transaction Data'!$K:$K,'Transaction Data'!$A:$A,J$5,'Transaction Data'!$E:$E,$A23)/1000</f>
        <v>0</v>
      </c>
      <c r="K23" s="186">
        <f>SUMIFS('Transaction Data'!$K:$K,'Transaction Data'!$A:$A,K$5,'Transaction Data'!$E:$E,$A23)/1000</f>
        <v>0</v>
      </c>
      <c r="L23" s="186">
        <f>SUMIFS('Transaction Data'!$K:$K,'Transaction Data'!$A:$A,L$5,'Transaction Data'!$E:$E,$A23)/1000</f>
        <v>0</v>
      </c>
      <c r="M23" s="186">
        <f>SUMIFS('Transaction Data'!$K:$K,'Transaction Data'!$A:$A,M$5,'Transaction Data'!$E:$E,$A23)/1000</f>
        <v>0</v>
      </c>
      <c r="N23" s="186">
        <f>SUMIFS('Transaction Data'!$K:$K,'Transaction Data'!$A:$A,N$5,'Transaction Data'!$E:$E,$A23)/1000</f>
        <v>0</v>
      </c>
      <c r="O23" s="187">
        <f t="shared" si="2"/>
        <v>0</v>
      </c>
      <c r="Q23" s="122"/>
      <c r="R23" s="125"/>
      <c r="S23" s="125"/>
      <c r="T23" s="126"/>
    </row>
    <row r="24" spans="1:20" ht="17.25" hidden="1" customHeight="1">
      <c r="A24" s="110"/>
      <c r="B24" s="114">
        <f>SUMIFS('Transaction Data'!$K:$K,'Transaction Data'!$A:$A,B$5,'Transaction Data'!$E:$E,$A24)/1000</f>
        <v>0</v>
      </c>
      <c r="C24" s="186">
        <f>SUMIFS('Transaction Data'!$K:$K,'Transaction Data'!$A:$A,C$5,'Transaction Data'!$E:$E,$A24)/1000</f>
        <v>0</v>
      </c>
      <c r="D24" s="186">
        <f>SUMIFS('Transaction Data'!$K:$K,'Transaction Data'!$A:$A,D$5,'Transaction Data'!$E:$E,$A24)/1000</f>
        <v>0</v>
      </c>
      <c r="E24" s="186">
        <f>SUMIFS('Transaction Data'!$K:$K,'Transaction Data'!$A:$A,E$5,'Transaction Data'!$E:$E,$A24)/1000</f>
        <v>0</v>
      </c>
      <c r="F24" s="186">
        <f>SUMIFS('Transaction Data'!$K:$K,'Transaction Data'!$A:$A,F$5,'Transaction Data'!$E:$E,$A24)/1000</f>
        <v>0</v>
      </c>
      <c r="G24" s="186">
        <f>SUMIFS('Transaction Data'!$K:$K,'Transaction Data'!$A:$A,G$5,'Transaction Data'!$E:$E,$A24)/1000</f>
        <v>0</v>
      </c>
      <c r="H24" s="186">
        <f>SUMIFS('Transaction Data'!$K:$K,'Transaction Data'!$A:$A,H$5,'Transaction Data'!$E:$E,$A24)/1000</f>
        <v>0</v>
      </c>
      <c r="I24" s="186">
        <f>SUMIFS('Transaction Data'!$K:$K,'Transaction Data'!$A:$A,I$5,'Transaction Data'!$E:$E,$A24)/1000</f>
        <v>0</v>
      </c>
      <c r="J24" s="186">
        <f>SUMIFS('Transaction Data'!$K:$K,'Transaction Data'!$A:$A,J$5,'Transaction Data'!$E:$E,$A24)/1000</f>
        <v>0</v>
      </c>
      <c r="K24" s="186">
        <f>SUMIFS('Transaction Data'!$K:$K,'Transaction Data'!$A:$A,K$5,'Transaction Data'!$E:$E,$A24)/1000</f>
        <v>0</v>
      </c>
      <c r="L24" s="186">
        <f>SUMIFS('Transaction Data'!$K:$K,'Transaction Data'!$A:$A,L$5,'Transaction Data'!$E:$E,$A24)/1000</f>
        <v>0</v>
      </c>
      <c r="M24" s="186">
        <f>SUMIFS('Transaction Data'!$K:$K,'Transaction Data'!$A:$A,M$5,'Transaction Data'!$E:$E,$A24)/1000</f>
        <v>0</v>
      </c>
      <c r="N24" s="186">
        <f>SUMIFS('Transaction Data'!$K:$K,'Transaction Data'!$A:$A,N$5,'Transaction Data'!$E:$E,$A24)/1000</f>
        <v>0</v>
      </c>
      <c r="O24" s="187">
        <f t="shared" si="2"/>
        <v>0</v>
      </c>
      <c r="Q24" s="122"/>
      <c r="R24" s="125"/>
      <c r="S24" s="125"/>
      <c r="T24" s="126"/>
    </row>
    <row r="25" spans="1:20" ht="17.25" hidden="1" customHeight="1">
      <c r="A25" s="110"/>
      <c r="B25" s="114">
        <f>SUMIFS('Transaction Data'!$K:$K,'Transaction Data'!$A:$A,B$5,'Transaction Data'!$E:$E,$A25)/1000</f>
        <v>0</v>
      </c>
      <c r="C25" s="186">
        <f>SUMIFS('Transaction Data'!$K:$K,'Transaction Data'!$A:$A,C$5,'Transaction Data'!$E:$E,$A25)/1000</f>
        <v>0</v>
      </c>
      <c r="D25" s="186">
        <f>SUMIFS('Transaction Data'!$K:$K,'Transaction Data'!$A:$A,D$5,'Transaction Data'!$E:$E,$A25)/1000</f>
        <v>0</v>
      </c>
      <c r="E25" s="186">
        <f>SUMIFS('Transaction Data'!$K:$K,'Transaction Data'!$A:$A,E$5,'Transaction Data'!$E:$E,$A25)/1000</f>
        <v>0</v>
      </c>
      <c r="F25" s="186">
        <f>SUMIFS('Transaction Data'!$K:$K,'Transaction Data'!$A:$A,F$5,'Transaction Data'!$E:$E,$A25)/1000</f>
        <v>0</v>
      </c>
      <c r="G25" s="186">
        <f>SUMIFS('Transaction Data'!$K:$K,'Transaction Data'!$A:$A,G$5,'Transaction Data'!$E:$E,$A25)/1000</f>
        <v>0</v>
      </c>
      <c r="H25" s="186">
        <f>SUMIFS('Transaction Data'!$K:$K,'Transaction Data'!$A:$A,H$5,'Transaction Data'!$E:$E,$A25)/1000</f>
        <v>0</v>
      </c>
      <c r="I25" s="186">
        <f>SUMIFS('Transaction Data'!$K:$K,'Transaction Data'!$A:$A,I$5,'Transaction Data'!$E:$E,$A25)/1000</f>
        <v>0</v>
      </c>
      <c r="J25" s="186">
        <f>SUMIFS('Transaction Data'!$K:$K,'Transaction Data'!$A:$A,J$5,'Transaction Data'!$E:$E,$A25)/1000</f>
        <v>0</v>
      </c>
      <c r="K25" s="186">
        <f>SUMIFS('Transaction Data'!$K:$K,'Transaction Data'!$A:$A,K$5,'Transaction Data'!$E:$E,$A25)/1000</f>
        <v>0</v>
      </c>
      <c r="L25" s="186">
        <f>SUMIFS('Transaction Data'!$K:$K,'Transaction Data'!$A:$A,L$5,'Transaction Data'!$E:$E,$A25)/1000</f>
        <v>0</v>
      </c>
      <c r="M25" s="186">
        <f>SUMIFS('Transaction Data'!$K:$K,'Transaction Data'!$A:$A,M$5,'Transaction Data'!$E:$E,$A25)/1000</f>
        <v>0</v>
      </c>
      <c r="N25" s="186">
        <f>SUMIFS('Transaction Data'!$K:$K,'Transaction Data'!$A:$A,N$5,'Transaction Data'!$E:$E,$A25)/1000</f>
        <v>0</v>
      </c>
      <c r="O25" s="187">
        <f t="shared" si="2"/>
        <v>0</v>
      </c>
      <c r="Q25" s="122"/>
      <c r="R25" s="125"/>
      <c r="S25" s="125"/>
      <c r="T25" s="126"/>
    </row>
    <row r="26" spans="1:20" ht="17.25" hidden="1" customHeight="1">
      <c r="A26" s="110"/>
      <c r="B26" s="114">
        <f>SUMIFS('Transaction Data'!$K:$K,'Transaction Data'!$A:$A,B$5,'Transaction Data'!$E:$E,$A26)/1000</f>
        <v>0</v>
      </c>
      <c r="C26" s="186">
        <f>SUMIFS('Transaction Data'!$K:$K,'Transaction Data'!$A:$A,C$5,'Transaction Data'!$E:$E,$A26)/1000</f>
        <v>0</v>
      </c>
      <c r="D26" s="186">
        <f>SUMIFS('Transaction Data'!$K:$K,'Transaction Data'!$A:$A,D$5,'Transaction Data'!$E:$E,$A26)/1000</f>
        <v>0</v>
      </c>
      <c r="E26" s="186">
        <f>SUMIFS('Transaction Data'!$K:$K,'Transaction Data'!$A:$A,E$5,'Transaction Data'!$E:$E,$A26)/1000</f>
        <v>0</v>
      </c>
      <c r="F26" s="186">
        <f>SUMIFS('Transaction Data'!$K:$K,'Transaction Data'!$A:$A,F$5,'Transaction Data'!$E:$E,$A26)/1000</f>
        <v>0</v>
      </c>
      <c r="G26" s="186">
        <f>SUMIFS('Transaction Data'!$K:$K,'Transaction Data'!$A:$A,G$5,'Transaction Data'!$E:$E,$A26)/1000</f>
        <v>0</v>
      </c>
      <c r="H26" s="186">
        <f>SUMIFS('Transaction Data'!$K:$K,'Transaction Data'!$A:$A,H$5,'Transaction Data'!$E:$E,$A26)/1000</f>
        <v>0</v>
      </c>
      <c r="I26" s="186">
        <f>SUMIFS('Transaction Data'!$K:$K,'Transaction Data'!$A:$A,I$5,'Transaction Data'!$E:$E,$A26)/1000</f>
        <v>0</v>
      </c>
      <c r="J26" s="186">
        <f>SUMIFS('Transaction Data'!$K:$K,'Transaction Data'!$A:$A,J$5,'Transaction Data'!$E:$E,$A26)/1000</f>
        <v>0</v>
      </c>
      <c r="K26" s="186">
        <f>SUMIFS('Transaction Data'!$K:$K,'Transaction Data'!$A:$A,K$5,'Transaction Data'!$E:$E,$A26)/1000</f>
        <v>0</v>
      </c>
      <c r="L26" s="186">
        <f>SUMIFS('Transaction Data'!$K:$K,'Transaction Data'!$A:$A,L$5,'Transaction Data'!$E:$E,$A26)/1000</f>
        <v>0</v>
      </c>
      <c r="M26" s="186">
        <f>SUMIFS('Transaction Data'!$K:$K,'Transaction Data'!$A:$A,M$5,'Transaction Data'!$E:$E,$A26)/1000</f>
        <v>0</v>
      </c>
      <c r="N26" s="186">
        <f>SUMIFS('Transaction Data'!$K:$K,'Transaction Data'!$A:$A,N$5,'Transaction Data'!$E:$E,$A26)/1000</f>
        <v>0</v>
      </c>
      <c r="O26" s="187">
        <f t="shared" si="2"/>
        <v>0</v>
      </c>
      <c r="Q26" s="122"/>
      <c r="R26" s="125"/>
      <c r="S26" s="125"/>
      <c r="T26" s="126"/>
    </row>
    <row r="27" spans="1:20" ht="17.25" hidden="1" customHeight="1">
      <c r="A27" s="110"/>
      <c r="B27" s="114">
        <f>SUMIFS('Transaction Data'!$K:$K,'Transaction Data'!$A:$A,B$5,'Transaction Data'!$E:$E,$A27)/1000</f>
        <v>0</v>
      </c>
      <c r="C27" s="186">
        <f>SUMIFS('Transaction Data'!$K:$K,'Transaction Data'!$A:$A,C$5,'Transaction Data'!$E:$E,$A27)/1000</f>
        <v>0</v>
      </c>
      <c r="D27" s="186">
        <f>SUMIFS('Transaction Data'!$K:$K,'Transaction Data'!$A:$A,D$5,'Transaction Data'!$E:$E,$A27)/1000</f>
        <v>0</v>
      </c>
      <c r="E27" s="186">
        <f>SUMIFS('Transaction Data'!$K:$K,'Transaction Data'!$A:$A,E$5,'Transaction Data'!$E:$E,$A27)/1000</f>
        <v>0</v>
      </c>
      <c r="F27" s="186">
        <f>SUMIFS('Transaction Data'!$K:$K,'Transaction Data'!$A:$A,F$5,'Transaction Data'!$E:$E,$A27)/1000</f>
        <v>0</v>
      </c>
      <c r="G27" s="186">
        <f>SUMIFS('Transaction Data'!$K:$K,'Transaction Data'!$A:$A,G$5,'Transaction Data'!$E:$E,$A27)/1000</f>
        <v>0</v>
      </c>
      <c r="H27" s="186">
        <f>SUMIFS('Transaction Data'!$K:$K,'Transaction Data'!$A:$A,H$5,'Transaction Data'!$E:$E,$A27)/1000</f>
        <v>0</v>
      </c>
      <c r="I27" s="186">
        <f>SUMIFS('Transaction Data'!$K:$K,'Transaction Data'!$A:$A,I$5,'Transaction Data'!$E:$E,$A27)/1000</f>
        <v>0</v>
      </c>
      <c r="J27" s="186">
        <f>SUMIFS('Transaction Data'!$K:$K,'Transaction Data'!$A:$A,J$5,'Transaction Data'!$E:$E,$A27)/1000</f>
        <v>0</v>
      </c>
      <c r="K27" s="186">
        <f>SUMIFS('Transaction Data'!$K:$K,'Transaction Data'!$A:$A,K$5,'Transaction Data'!$E:$E,$A27)/1000</f>
        <v>0</v>
      </c>
      <c r="L27" s="186">
        <f>SUMIFS('Transaction Data'!$K:$K,'Transaction Data'!$A:$A,L$5,'Transaction Data'!$E:$E,$A27)/1000</f>
        <v>0</v>
      </c>
      <c r="M27" s="186">
        <f>SUMIFS('Transaction Data'!$K:$K,'Transaction Data'!$A:$A,M$5,'Transaction Data'!$E:$E,$A27)/1000</f>
        <v>0</v>
      </c>
      <c r="N27" s="186">
        <f>SUMIFS('Transaction Data'!$K:$K,'Transaction Data'!$A:$A,N$5,'Transaction Data'!$E:$E,$A27)/1000</f>
        <v>0</v>
      </c>
      <c r="O27" s="187">
        <f t="shared" si="2"/>
        <v>0</v>
      </c>
      <c r="Q27" s="122"/>
      <c r="R27" s="125"/>
      <c r="S27" s="125"/>
      <c r="T27" s="126"/>
    </row>
    <row r="28" spans="1:20" ht="17.25" customHeight="1">
      <c r="A28" s="119" t="s">
        <v>108</v>
      </c>
      <c r="B28" s="120">
        <f>+B29+B30</f>
        <v>0</v>
      </c>
      <c r="C28" s="121">
        <f>+C29+C30</f>
        <v>0</v>
      </c>
      <c r="D28" s="121">
        <f t="shared" ref="D28:N28" si="3">+D29+D30</f>
        <v>0</v>
      </c>
      <c r="E28" s="121">
        <f t="shared" si="3"/>
        <v>0</v>
      </c>
      <c r="F28" s="121">
        <f t="shared" si="3"/>
        <v>0</v>
      </c>
      <c r="G28" s="121">
        <f t="shared" si="3"/>
        <v>0</v>
      </c>
      <c r="H28" s="121">
        <f t="shared" si="3"/>
        <v>0</v>
      </c>
      <c r="I28" s="121">
        <f t="shared" si="3"/>
        <v>0</v>
      </c>
      <c r="J28" s="121">
        <f t="shared" si="3"/>
        <v>0</v>
      </c>
      <c r="K28" s="121">
        <f t="shared" si="3"/>
        <v>0</v>
      </c>
      <c r="L28" s="121">
        <f t="shared" si="3"/>
        <v>0</v>
      </c>
      <c r="M28" s="121">
        <f t="shared" si="3"/>
        <v>0</v>
      </c>
      <c r="N28" s="121">
        <f t="shared" si="3"/>
        <v>0</v>
      </c>
      <c r="O28" s="187">
        <f>SUM(C28:N28)</f>
        <v>0</v>
      </c>
      <c r="Q28" s="122"/>
      <c r="R28" s="125"/>
      <c r="S28" s="125"/>
      <c r="T28" s="126"/>
    </row>
    <row r="29" spans="1:20" ht="17.25" customHeight="1">
      <c r="A29" s="111" t="s">
        <v>109</v>
      </c>
      <c r="B29" s="115">
        <f t="shared" ref="B29:N29" si="4">SUM(B11:B27)</f>
        <v>0</v>
      </c>
      <c r="C29" s="115">
        <f t="shared" si="4"/>
        <v>0</v>
      </c>
      <c r="D29" s="115">
        <f t="shared" si="4"/>
        <v>0</v>
      </c>
      <c r="E29" s="115">
        <f t="shared" si="4"/>
        <v>0</v>
      </c>
      <c r="F29" s="115">
        <f t="shared" si="4"/>
        <v>0</v>
      </c>
      <c r="G29" s="115">
        <f t="shared" si="4"/>
        <v>0</v>
      </c>
      <c r="H29" s="115">
        <f t="shared" si="4"/>
        <v>0</v>
      </c>
      <c r="I29" s="115">
        <f t="shared" si="4"/>
        <v>0</v>
      </c>
      <c r="J29" s="115">
        <f t="shared" si="4"/>
        <v>0</v>
      </c>
      <c r="K29" s="115">
        <f t="shared" si="4"/>
        <v>0</v>
      </c>
      <c r="L29" s="115">
        <f t="shared" si="4"/>
        <v>0</v>
      </c>
      <c r="M29" s="115">
        <f t="shared" si="4"/>
        <v>0</v>
      </c>
      <c r="N29" s="115">
        <f t="shared" si="4"/>
        <v>0</v>
      </c>
      <c r="O29" s="117">
        <f>SUM(C29:N29)</f>
        <v>0</v>
      </c>
      <c r="Q29" s="122"/>
      <c r="R29" s="125"/>
      <c r="S29" s="125"/>
      <c r="T29" s="126"/>
    </row>
    <row r="30" spans="1:20" ht="17.25" customHeight="1">
      <c r="A30" s="112" t="s">
        <v>110</v>
      </c>
      <c r="B30" s="116">
        <f t="shared" ref="B30:N30" si="5">SUM(B6:B10)</f>
        <v>0</v>
      </c>
      <c r="C30" s="116">
        <f t="shared" si="5"/>
        <v>0</v>
      </c>
      <c r="D30" s="116">
        <f t="shared" si="5"/>
        <v>0</v>
      </c>
      <c r="E30" s="116">
        <f t="shared" si="5"/>
        <v>0</v>
      </c>
      <c r="F30" s="116">
        <f t="shared" si="5"/>
        <v>0</v>
      </c>
      <c r="G30" s="116">
        <f t="shared" si="5"/>
        <v>0</v>
      </c>
      <c r="H30" s="116">
        <f t="shared" si="5"/>
        <v>0</v>
      </c>
      <c r="I30" s="116">
        <f t="shared" si="5"/>
        <v>0</v>
      </c>
      <c r="J30" s="116">
        <f t="shared" si="5"/>
        <v>0</v>
      </c>
      <c r="K30" s="116">
        <f t="shared" si="5"/>
        <v>0</v>
      </c>
      <c r="L30" s="116">
        <f t="shared" si="5"/>
        <v>0</v>
      </c>
      <c r="M30" s="116">
        <f t="shared" si="5"/>
        <v>0</v>
      </c>
      <c r="N30" s="116">
        <f t="shared" si="5"/>
        <v>0</v>
      </c>
      <c r="O30" s="118">
        <f>SUM(C30:N30)</f>
        <v>0</v>
      </c>
      <c r="Q30" s="122"/>
      <c r="R30" s="125"/>
      <c r="S30" s="125"/>
      <c r="T30" s="126"/>
    </row>
    <row r="31" spans="1:20" ht="17.25" customHeight="1">
      <c r="A31" s="188"/>
      <c r="B31" s="188"/>
      <c r="C31" s="188"/>
      <c r="D31" s="188"/>
      <c r="E31" s="188"/>
      <c r="F31" s="188"/>
      <c r="G31" s="188"/>
      <c r="H31" s="188"/>
      <c r="I31" s="188"/>
      <c r="J31" s="188"/>
      <c r="K31" s="188"/>
      <c r="L31" s="188"/>
      <c r="M31" s="188"/>
      <c r="N31" s="188"/>
      <c r="O31" s="188"/>
    </row>
    <row r="32" spans="1:20" ht="17.25" customHeight="1">
      <c r="A32" s="181" t="s">
        <v>111</v>
      </c>
      <c r="B32" s="182"/>
      <c r="C32" s="183"/>
      <c r="D32" s="183"/>
      <c r="E32" s="183"/>
      <c r="F32" s="183"/>
      <c r="G32" s="183"/>
      <c r="H32" s="183"/>
      <c r="I32" s="183"/>
      <c r="J32" s="183"/>
      <c r="K32" s="183"/>
      <c r="L32" s="183"/>
      <c r="M32" s="183"/>
      <c r="N32" s="183"/>
      <c r="O32" s="183"/>
    </row>
    <row r="33" spans="1:20" ht="17.25" customHeight="1">
      <c r="A33" s="235" t="s">
        <v>112</v>
      </c>
      <c r="B33" s="235"/>
      <c r="C33" s="235"/>
      <c r="D33" s="235"/>
      <c r="E33" s="235"/>
      <c r="F33" s="235"/>
      <c r="G33" s="235"/>
      <c r="H33" s="235"/>
      <c r="I33" s="235"/>
      <c r="J33" s="235"/>
      <c r="K33" s="235"/>
      <c r="L33" s="235"/>
      <c r="M33" s="235"/>
      <c r="N33" s="235"/>
      <c r="O33" s="235"/>
    </row>
    <row r="34" spans="1:20" ht="17.25" customHeight="1">
      <c r="A34" s="108" t="s">
        <v>96</v>
      </c>
      <c r="B34" s="113">
        <f t="shared" ref="B34:N34" si="6">B5</f>
        <v>44440</v>
      </c>
      <c r="C34" s="107">
        <f t="shared" si="6"/>
        <v>44743</v>
      </c>
      <c r="D34" s="107">
        <f t="shared" si="6"/>
        <v>44774</v>
      </c>
      <c r="E34" s="107">
        <f t="shared" si="6"/>
        <v>44805</v>
      </c>
      <c r="F34" s="107">
        <f t="shared" si="6"/>
        <v>44835</v>
      </c>
      <c r="G34" s="107">
        <f t="shared" si="6"/>
        <v>44866</v>
      </c>
      <c r="H34" s="107">
        <f t="shared" si="6"/>
        <v>44896</v>
      </c>
      <c r="I34" s="107">
        <f t="shared" si="6"/>
        <v>44927</v>
      </c>
      <c r="J34" s="107">
        <f t="shared" si="6"/>
        <v>44958</v>
      </c>
      <c r="K34" s="107">
        <f t="shared" si="6"/>
        <v>44986</v>
      </c>
      <c r="L34" s="107">
        <f t="shared" si="6"/>
        <v>45017</v>
      </c>
      <c r="M34" s="107">
        <f t="shared" si="6"/>
        <v>45047</v>
      </c>
      <c r="N34" s="107">
        <f t="shared" si="6"/>
        <v>45078</v>
      </c>
      <c r="O34" s="184" t="s">
        <v>97</v>
      </c>
    </row>
    <row r="35" spans="1:20" ht="17.25" customHeight="1">
      <c r="A35" s="109" t="str">
        <f t="shared" ref="A35:A43" si="7">A6</f>
        <v>General</v>
      </c>
      <c r="B35" s="132">
        <f>SUMIFS('Transaction Data'!$L:$L,'Transaction Data'!$A:$A,B$34,'Transaction Data'!$E:$E,$A35)</f>
        <v>0</v>
      </c>
      <c r="C35" s="189">
        <f>SUMIFS('Transaction Data'!$L:$L,'Transaction Data'!$A:$A,C$34,'Transaction Data'!$E:$E,$A35)</f>
        <v>0</v>
      </c>
      <c r="D35" s="190">
        <f>SUMIFS('Transaction Data'!$L:$L,'Transaction Data'!$A:$A,D$34,'Transaction Data'!$E:$E,$A35)</f>
        <v>0</v>
      </c>
      <c r="E35" s="190">
        <f>SUMIFS('Transaction Data'!$L:$L,'Transaction Data'!$A:$A,E$34,'Transaction Data'!$E:$E,$A35)</f>
        <v>0</v>
      </c>
      <c r="F35" s="190">
        <f>SUMIFS('Transaction Data'!$L:$L,'Transaction Data'!$A:$A,F$34,'Transaction Data'!$E:$E,$A35)</f>
        <v>0</v>
      </c>
      <c r="G35" s="190">
        <f>SUMIFS('Transaction Data'!$L:$L,'Transaction Data'!$A:$A,G$34,'Transaction Data'!$E:$E,$A35)</f>
        <v>0</v>
      </c>
      <c r="H35" s="190">
        <f>SUMIFS('Transaction Data'!$L:$L,'Transaction Data'!$A:$A,H$34,'Transaction Data'!$E:$E,$A35)</f>
        <v>0</v>
      </c>
      <c r="I35" s="190">
        <f>SUMIFS('Transaction Data'!$L:$L,'Transaction Data'!$A:$A,I$34,'Transaction Data'!$E:$E,$A35)</f>
        <v>0</v>
      </c>
      <c r="J35" s="190">
        <f>SUMIFS('Transaction Data'!$L:$L,'Transaction Data'!$A:$A,J$34,'Transaction Data'!$E:$E,$A35)</f>
        <v>0</v>
      </c>
      <c r="K35" s="190">
        <f>SUMIFS('Transaction Data'!$L:$L,'Transaction Data'!$A:$A,K$34,'Transaction Data'!$E:$E,$A35)</f>
        <v>0</v>
      </c>
      <c r="L35" s="190">
        <f>SUMIFS('Transaction Data'!$L:$L,'Transaction Data'!$A:$A,L$34,'Transaction Data'!$E:$E,$A35)</f>
        <v>0</v>
      </c>
      <c r="M35" s="190">
        <f>SUMIFS('Transaction Data'!$L:$L,'Transaction Data'!$A:$A,M$34,'Transaction Data'!$E:$E,$A35)</f>
        <v>0</v>
      </c>
      <c r="N35" s="190">
        <f>SUMIFS('Transaction Data'!$L:$L,'Transaction Data'!$A:$A,N$34,'Transaction Data'!$E:$E,$A35)</f>
        <v>0</v>
      </c>
      <c r="O35" s="191">
        <f>SUM(C35:N35)</f>
        <v>0</v>
      </c>
      <c r="R35" s="84" t="s">
        <v>26</v>
      </c>
      <c r="S35" s="85" t="s">
        <v>27</v>
      </c>
      <c r="T35" s="86" t="s">
        <v>98</v>
      </c>
    </row>
    <row r="36" spans="1:20" ht="17.25" hidden="1" customHeight="1">
      <c r="A36" s="109">
        <f t="shared" si="7"/>
        <v>0</v>
      </c>
      <c r="B36" s="132">
        <f>SUMIFS('Transaction Data'!$L:$L,'Transaction Data'!$A:$A,B$34,'Transaction Data'!$E:$E,$A36)</f>
        <v>0</v>
      </c>
      <c r="C36" s="189">
        <f>SUMIFS('Transaction Data'!$L:$L,'Transaction Data'!$A:$A,C$34,'Transaction Data'!$E:$E,$A36)</f>
        <v>0</v>
      </c>
      <c r="D36" s="190">
        <f>SUMIFS('Transaction Data'!$L:$L,'Transaction Data'!$A:$A,D$34,'Transaction Data'!$E:$E,$A36)</f>
        <v>0</v>
      </c>
      <c r="E36" s="190">
        <f>SUMIFS('Transaction Data'!$L:$L,'Transaction Data'!$A:$A,E$34,'Transaction Data'!$E:$E,$A36)</f>
        <v>0</v>
      </c>
      <c r="F36" s="190">
        <f>SUMIFS('Transaction Data'!$L:$L,'Transaction Data'!$A:$A,F$34,'Transaction Data'!$E:$E,$A36)</f>
        <v>0</v>
      </c>
      <c r="G36" s="190">
        <f>SUMIFS('Transaction Data'!$L:$L,'Transaction Data'!$A:$A,G$34,'Transaction Data'!$E:$E,$A36)</f>
        <v>0</v>
      </c>
      <c r="H36" s="190">
        <f>SUMIFS('Transaction Data'!$L:$L,'Transaction Data'!$A:$A,H$34,'Transaction Data'!$E:$E,$A36)</f>
        <v>0</v>
      </c>
      <c r="I36" s="190">
        <f>SUMIFS('Transaction Data'!$L:$L,'Transaction Data'!$A:$A,I$34,'Transaction Data'!$E:$E,$A36)</f>
        <v>0</v>
      </c>
      <c r="J36" s="190">
        <f>SUMIFS('Transaction Data'!$L:$L,'Transaction Data'!$A:$A,J$34,'Transaction Data'!$E:$E,$A36)</f>
        <v>0</v>
      </c>
      <c r="K36" s="190">
        <f>SUMIFS('Transaction Data'!$L:$L,'Transaction Data'!$A:$A,K$34,'Transaction Data'!$E:$E,$A36)</f>
        <v>0</v>
      </c>
      <c r="L36" s="190">
        <f>SUMIFS('Transaction Data'!$L:$L,'Transaction Data'!$A:$A,L$34,'Transaction Data'!$E:$E,$A36)</f>
        <v>0</v>
      </c>
      <c r="M36" s="190">
        <f>SUMIFS('Transaction Data'!$L:$L,'Transaction Data'!$A:$A,M$34,'Transaction Data'!$E:$E,$A36)</f>
        <v>0</v>
      </c>
      <c r="N36" s="190">
        <f>SUMIFS('Transaction Data'!$L:$L,'Transaction Data'!$A:$A,N$34,'Transaction Data'!$E:$E,$A36)</f>
        <v>0</v>
      </c>
      <c r="O36" s="191">
        <f t="shared" ref="O36:O56" si="8">SUM(C36:N36)</f>
        <v>0</v>
      </c>
      <c r="Q36" s="122">
        <f>$C$5</f>
        <v>44743</v>
      </c>
      <c r="R36" s="125">
        <f>IFERROR(C$58/C$57,0)</f>
        <v>0</v>
      </c>
      <c r="S36" s="125">
        <f>IFERROR(C$59/C$57,0)</f>
        <v>0</v>
      </c>
      <c r="T36" s="126">
        <f>R36</f>
        <v>0</v>
      </c>
    </row>
    <row r="37" spans="1:20" ht="17.25" hidden="1" customHeight="1">
      <c r="A37" s="109">
        <f t="shared" si="7"/>
        <v>0</v>
      </c>
      <c r="B37" s="132">
        <f>SUMIFS('Transaction Data'!$L:$L,'Transaction Data'!$A:$A,B$34,'Transaction Data'!$E:$E,$A37)</f>
        <v>0</v>
      </c>
      <c r="C37" s="189">
        <f>SUMIFS('Transaction Data'!$L:$L,'Transaction Data'!$A:$A,C$34,'Transaction Data'!$E:$E,$A37)</f>
        <v>0</v>
      </c>
      <c r="D37" s="190">
        <f>SUMIFS('Transaction Data'!$L:$L,'Transaction Data'!$A:$A,D$34,'Transaction Data'!$E:$E,$A37)</f>
        <v>0</v>
      </c>
      <c r="E37" s="190">
        <f>SUMIFS('Transaction Data'!$L:$L,'Transaction Data'!$A:$A,E$34,'Transaction Data'!$E:$E,$A37)</f>
        <v>0</v>
      </c>
      <c r="F37" s="190">
        <f>SUMIFS('Transaction Data'!$L:$L,'Transaction Data'!$A:$A,F$34,'Transaction Data'!$E:$E,$A37)</f>
        <v>0</v>
      </c>
      <c r="G37" s="190">
        <f>SUMIFS('Transaction Data'!$L:$L,'Transaction Data'!$A:$A,G$34,'Transaction Data'!$E:$E,$A37)</f>
        <v>0</v>
      </c>
      <c r="H37" s="190">
        <f>SUMIFS('Transaction Data'!$L:$L,'Transaction Data'!$A:$A,H$34,'Transaction Data'!$E:$E,$A37)</f>
        <v>0</v>
      </c>
      <c r="I37" s="190">
        <f>SUMIFS('Transaction Data'!$L:$L,'Transaction Data'!$A:$A,I$34,'Transaction Data'!$E:$E,$A37)</f>
        <v>0</v>
      </c>
      <c r="J37" s="190">
        <f>SUMIFS('Transaction Data'!$L:$L,'Transaction Data'!$A:$A,J$34,'Transaction Data'!$E:$E,$A37)</f>
        <v>0</v>
      </c>
      <c r="K37" s="190">
        <f>SUMIFS('Transaction Data'!$L:$L,'Transaction Data'!$A:$A,K$34,'Transaction Data'!$E:$E,$A37)</f>
        <v>0</v>
      </c>
      <c r="L37" s="190">
        <f>SUMIFS('Transaction Data'!$L:$L,'Transaction Data'!$A:$A,L$34,'Transaction Data'!$E:$E,$A37)</f>
        <v>0</v>
      </c>
      <c r="M37" s="190">
        <f>SUMIFS('Transaction Data'!$L:$L,'Transaction Data'!$A:$A,M$34,'Transaction Data'!$E:$E,$A37)</f>
        <v>0</v>
      </c>
      <c r="N37" s="190">
        <f>SUMIFS('Transaction Data'!$L:$L,'Transaction Data'!$A:$A,N$34,'Transaction Data'!$E:$E,$A37)</f>
        <v>0</v>
      </c>
      <c r="O37" s="191">
        <f t="shared" si="8"/>
        <v>0</v>
      </c>
      <c r="Q37" s="122">
        <f>$D$5</f>
        <v>44774</v>
      </c>
      <c r="R37" s="125">
        <f>IFERROR(D$58/D$57,0)</f>
        <v>0</v>
      </c>
      <c r="S37" s="125">
        <f>IFERROR(D$59/D$57,0)</f>
        <v>0</v>
      </c>
      <c r="T37" s="126">
        <f>IFERROR(AVERAGEIF($R$36:R37,"&lt;&gt;0.00"),0)</f>
        <v>0</v>
      </c>
    </row>
    <row r="38" spans="1:20" ht="17.25" hidden="1" customHeight="1">
      <c r="A38" s="109">
        <f t="shared" si="7"/>
        <v>0</v>
      </c>
      <c r="B38" s="132">
        <f>SUMIFS('Transaction Data'!$L:$L,'Transaction Data'!$A:$A,B$34,'Transaction Data'!$E:$E,$A38)</f>
        <v>0</v>
      </c>
      <c r="C38" s="189">
        <f>SUMIFS('Transaction Data'!$L:$L,'Transaction Data'!$A:$A,C$34,'Transaction Data'!$E:$E,$A38)</f>
        <v>0</v>
      </c>
      <c r="D38" s="190">
        <f>SUMIFS('Transaction Data'!$L:$L,'Transaction Data'!$A:$A,D$34,'Transaction Data'!$E:$E,$A38)</f>
        <v>0</v>
      </c>
      <c r="E38" s="190">
        <f>SUMIFS('Transaction Data'!$L:$L,'Transaction Data'!$A:$A,E$34,'Transaction Data'!$E:$E,$A38)</f>
        <v>0</v>
      </c>
      <c r="F38" s="190">
        <f>SUMIFS('Transaction Data'!$L:$L,'Transaction Data'!$A:$A,F$34,'Transaction Data'!$E:$E,$A38)</f>
        <v>0</v>
      </c>
      <c r="G38" s="190">
        <f>SUMIFS('Transaction Data'!$L:$L,'Transaction Data'!$A:$A,G$34,'Transaction Data'!$E:$E,$A38)</f>
        <v>0</v>
      </c>
      <c r="H38" s="190">
        <f>SUMIFS('Transaction Data'!$L:$L,'Transaction Data'!$A:$A,H$34,'Transaction Data'!$E:$E,$A38)</f>
        <v>0</v>
      </c>
      <c r="I38" s="190">
        <f>SUMIFS('Transaction Data'!$L:$L,'Transaction Data'!$A:$A,I$34,'Transaction Data'!$E:$E,$A38)</f>
        <v>0</v>
      </c>
      <c r="J38" s="190">
        <f>SUMIFS('Transaction Data'!$L:$L,'Transaction Data'!$A:$A,J$34,'Transaction Data'!$E:$E,$A38)</f>
        <v>0</v>
      </c>
      <c r="K38" s="190">
        <f>SUMIFS('Transaction Data'!$L:$L,'Transaction Data'!$A:$A,K$34,'Transaction Data'!$E:$E,$A38)</f>
        <v>0</v>
      </c>
      <c r="L38" s="190">
        <f>SUMIFS('Transaction Data'!$L:$L,'Transaction Data'!$A:$A,L$34,'Transaction Data'!$E:$E,$A38)</f>
        <v>0</v>
      </c>
      <c r="M38" s="190">
        <f>SUMIFS('Transaction Data'!$L:$L,'Transaction Data'!$A:$A,M$34,'Transaction Data'!$E:$E,$A38)</f>
        <v>0</v>
      </c>
      <c r="N38" s="190">
        <f>SUMIFS('Transaction Data'!$L:$L,'Transaction Data'!$A:$A,N$34,'Transaction Data'!$E:$E,$A38)</f>
        <v>0</v>
      </c>
      <c r="O38" s="191">
        <f t="shared" si="8"/>
        <v>0</v>
      </c>
      <c r="Q38" s="122">
        <f>$E$5</f>
        <v>44805</v>
      </c>
      <c r="R38" s="125">
        <f>IFERROR(E$58/E$57,0)</f>
        <v>0</v>
      </c>
      <c r="S38" s="125">
        <f>IFERROR(E$59/E$57,0)</f>
        <v>0</v>
      </c>
      <c r="T38" s="126">
        <f>IFERROR(AVERAGEIF($R$36:R38,"&lt;&gt;0.00"),0)</f>
        <v>0</v>
      </c>
    </row>
    <row r="39" spans="1:20" ht="17.25" hidden="1" customHeight="1">
      <c r="A39" s="109">
        <f t="shared" si="7"/>
        <v>0</v>
      </c>
      <c r="B39" s="132">
        <f>SUMIFS('Transaction Data'!$L:$L,'Transaction Data'!$A:$A,B$34,'Transaction Data'!$E:$E,$A39)</f>
        <v>0</v>
      </c>
      <c r="C39" s="189">
        <f>SUMIFS('Transaction Data'!$L:$L,'Transaction Data'!$A:$A,C$34,'Transaction Data'!$E:$E,$A39)</f>
        <v>0</v>
      </c>
      <c r="D39" s="190">
        <f>SUMIFS('Transaction Data'!$L:$L,'Transaction Data'!$A:$A,D$34,'Transaction Data'!$E:$E,$A39)</f>
        <v>0</v>
      </c>
      <c r="E39" s="190">
        <f>SUMIFS('Transaction Data'!$L:$L,'Transaction Data'!$A:$A,E$34,'Transaction Data'!$E:$E,$A39)</f>
        <v>0</v>
      </c>
      <c r="F39" s="190">
        <f>SUMIFS('Transaction Data'!$L:$L,'Transaction Data'!$A:$A,F$34,'Transaction Data'!$E:$E,$A39)</f>
        <v>0</v>
      </c>
      <c r="G39" s="190">
        <f>SUMIFS('Transaction Data'!$L:$L,'Transaction Data'!$A:$A,G$34,'Transaction Data'!$E:$E,$A39)</f>
        <v>0</v>
      </c>
      <c r="H39" s="190">
        <f>SUMIFS('Transaction Data'!$L:$L,'Transaction Data'!$A:$A,H$34,'Transaction Data'!$E:$E,$A39)</f>
        <v>0</v>
      </c>
      <c r="I39" s="190">
        <f>SUMIFS('Transaction Data'!$L:$L,'Transaction Data'!$A:$A,I$34,'Transaction Data'!$E:$E,$A39)</f>
        <v>0</v>
      </c>
      <c r="J39" s="190">
        <f>SUMIFS('Transaction Data'!$L:$L,'Transaction Data'!$A:$A,J$34,'Transaction Data'!$E:$E,$A39)</f>
        <v>0</v>
      </c>
      <c r="K39" s="190">
        <f>SUMIFS('Transaction Data'!$L:$L,'Transaction Data'!$A:$A,K$34,'Transaction Data'!$E:$E,$A39)</f>
        <v>0</v>
      </c>
      <c r="L39" s="190">
        <f>SUMIFS('Transaction Data'!$L:$L,'Transaction Data'!$A:$A,L$34,'Transaction Data'!$E:$E,$A39)</f>
        <v>0</v>
      </c>
      <c r="M39" s="190">
        <f>SUMIFS('Transaction Data'!$L:$L,'Transaction Data'!$A:$A,M$34,'Transaction Data'!$E:$E,$A39)</f>
        <v>0</v>
      </c>
      <c r="N39" s="190">
        <f>SUMIFS('Transaction Data'!$L:$L,'Transaction Data'!$A:$A,N$34,'Transaction Data'!$E:$E,$A39)</f>
        <v>0</v>
      </c>
      <c r="O39" s="191">
        <f t="shared" si="8"/>
        <v>0</v>
      </c>
      <c r="Q39" s="122">
        <f>$F$5</f>
        <v>44835</v>
      </c>
      <c r="R39" s="125">
        <f>IFERROR(F58/F$57,0)</f>
        <v>0</v>
      </c>
      <c r="S39" s="125">
        <f>IFERROR(F$59/F$57,0)</f>
        <v>0</v>
      </c>
      <c r="T39" s="126">
        <f>IFERROR(AVERAGEIF($R$36:R39,"&lt;&gt;0.00"),0)</f>
        <v>0</v>
      </c>
    </row>
    <row r="40" spans="1:20" ht="17.25" hidden="1" customHeight="1">
      <c r="A40" s="110" t="str">
        <f t="shared" si="7"/>
        <v>Recycle</v>
      </c>
      <c r="B40" s="132">
        <f>SUMIFS('Transaction Data'!$L:$L,'Transaction Data'!$A:$A,B$34,'Transaction Data'!$E:$E,$A40)</f>
        <v>0</v>
      </c>
      <c r="C40" s="189">
        <f>SUMIFS('Transaction Data'!$L:$L,'Transaction Data'!$A:$A,C$34,'Transaction Data'!$E:$E,$A40)</f>
        <v>0</v>
      </c>
      <c r="D40" s="190">
        <f>SUMIFS('Transaction Data'!$L:$L,'Transaction Data'!$A:$A,D$34,'Transaction Data'!$E:$E,$A40)</f>
        <v>0</v>
      </c>
      <c r="E40" s="190">
        <f>SUMIFS('Transaction Data'!$L:$L,'Transaction Data'!$A:$A,E$34,'Transaction Data'!$E:$E,$A40)</f>
        <v>0</v>
      </c>
      <c r="F40" s="190">
        <f>SUMIFS('Transaction Data'!$L:$L,'Transaction Data'!$A:$A,F$34,'Transaction Data'!$E:$E,$A40)</f>
        <v>0</v>
      </c>
      <c r="G40" s="190">
        <f>SUMIFS('Transaction Data'!$L:$L,'Transaction Data'!$A:$A,G$34,'Transaction Data'!$E:$E,$A40)</f>
        <v>0</v>
      </c>
      <c r="H40" s="190">
        <f>SUMIFS('Transaction Data'!$L:$L,'Transaction Data'!$A:$A,H$34,'Transaction Data'!$E:$E,$A40)</f>
        <v>0</v>
      </c>
      <c r="I40" s="190">
        <f>SUMIFS('Transaction Data'!$L:$L,'Transaction Data'!$A:$A,I$34,'Transaction Data'!$E:$E,$A40)</f>
        <v>0</v>
      </c>
      <c r="J40" s="190">
        <f>SUMIFS('Transaction Data'!$L:$L,'Transaction Data'!$A:$A,J$34,'Transaction Data'!$E:$E,$A40)</f>
        <v>0</v>
      </c>
      <c r="K40" s="190">
        <f>SUMIFS('Transaction Data'!$L:$L,'Transaction Data'!$A:$A,K$34,'Transaction Data'!$E:$E,$A40)</f>
        <v>0</v>
      </c>
      <c r="L40" s="190">
        <f>SUMIFS('Transaction Data'!$L:$L,'Transaction Data'!$A:$A,L$34,'Transaction Data'!$E:$E,$A40)</f>
        <v>0</v>
      </c>
      <c r="M40" s="190">
        <f>SUMIFS('Transaction Data'!$L:$L,'Transaction Data'!$A:$A,M$34,'Transaction Data'!$E:$E,$A40)</f>
        <v>0</v>
      </c>
      <c r="N40" s="190">
        <f>SUMIFS('Transaction Data'!$L:$L,'Transaction Data'!$A:$A,N$34,'Transaction Data'!$E:$E,$A40)</f>
        <v>0</v>
      </c>
      <c r="O40" s="191">
        <f t="shared" si="8"/>
        <v>0</v>
      </c>
      <c r="Q40" s="122">
        <f>$G$5</f>
        <v>44866</v>
      </c>
      <c r="R40" s="125">
        <f>IFERROR(G$58/G$57,0)</f>
        <v>0</v>
      </c>
      <c r="S40" s="125">
        <f>IFERROR(G$59/G$57,0)</f>
        <v>0</v>
      </c>
      <c r="T40" s="126">
        <f>IFERROR(AVERAGEIF($R$36:R40,"&lt;&gt;0.00"),0)</f>
        <v>0</v>
      </c>
    </row>
    <row r="41" spans="1:20" ht="17.25" hidden="1" customHeight="1">
      <c r="A41" s="110" t="str">
        <f t="shared" si="7"/>
        <v>Confidential</v>
      </c>
      <c r="B41" s="132">
        <f>SUMIFS('Transaction Data'!$L:$L,'Transaction Data'!$A:$A,B$34,'Transaction Data'!$E:$E,$A41)</f>
        <v>0</v>
      </c>
      <c r="C41" s="189">
        <f>SUMIFS('Transaction Data'!$L:$L,'Transaction Data'!$A:$A,C$34,'Transaction Data'!$E:$E,$A41)</f>
        <v>0</v>
      </c>
      <c r="D41" s="190">
        <f>SUMIFS('Transaction Data'!$L:$L,'Transaction Data'!$A:$A,D$34,'Transaction Data'!$E:$E,$A41)</f>
        <v>0</v>
      </c>
      <c r="E41" s="190">
        <f>SUMIFS('Transaction Data'!$L:$L,'Transaction Data'!$A:$A,E$34,'Transaction Data'!$E:$E,$A41)</f>
        <v>0</v>
      </c>
      <c r="F41" s="190">
        <f>SUMIFS('Transaction Data'!$L:$L,'Transaction Data'!$A:$A,F$34,'Transaction Data'!$E:$E,$A41)</f>
        <v>0</v>
      </c>
      <c r="G41" s="190">
        <f>SUMIFS('Transaction Data'!$L:$L,'Transaction Data'!$A:$A,G$34,'Transaction Data'!$E:$E,$A41)</f>
        <v>0</v>
      </c>
      <c r="H41" s="190">
        <f>SUMIFS('Transaction Data'!$L:$L,'Transaction Data'!$A:$A,H$34,'Transaction Data'!$E:$E,$A41)</f>
        <v>0</v>
      </c>
      <c r="I41" s="190">
        <f>SUMIFS('Transaction Data'!$L:$L,'Transaction Data'!$A:$A,I$34,'Transaction Data'!$E:$E,$A41)</f>
        <v>0</v>
      </c>
      <c r="J41" s="190">
        <f>SUMIFS('Transaction Data'!$L:$L,'Transaction Data'!$A:$A,J$34,'Transaction Data'!$E:$E,$A41)</f>
        <v>0</v>
      </c>
      <c r="K41" s="190">
        <f>SUMIFS('Transaction Data'!$L:$L,'Transaction Data'!$A:$A,K$34,'Transaction Data'!$E:$E,$A41)</f>
        <v>0</v>
      </c>
      <c r="L41" s="190">
        <f>SUMIFS('Transaction Data'!$L:$L,'Transaction Data'!$A:$A,L$34,'Transaction Data'!$E:$E,$A41)</f>
        <v>0</v>
      </c>
      <c r="M41" s="190">
        <f>SUMIFS('Transaction Data'!$L:$L,'Transaction Data'!$A:$A,M$34,'Transaction Data'!$E:$E,$A41)</f>
        <v>0</v>
      </c>
      <c r="N41" s="190">
        <f>SUMIFS('Transaction Data'!$L:$L,'Transaction Data'!$A:$A,N$34,'Transaction Data'!$E:$E,$A41)</f>
        <v>0</v>
      </c>
      <c r="O41" s="191">
        <f t="shared" si="8"/>
        <v>0</v>
      </c>
      <c r="Q41" s="122">
        <f>$H$5</f>
        <v>44896</v>
      </c>
      <c r="R41" s="125">
        <f>IFERROR(H$58/H$57,0)</f>
        <v>0</v>
      </c>
      <c r="S41" s="125">
        <f>IFERROR(H$59/H$57,0)</f>
        <v>0</v>
      </c>
      <c r="T41" s="126">
        <f>IFERROR(AVERAGEIF($R$36:R41,"&lt;&gt;0.00"),0)</f>
        <v>0</v>
      </c>
    </row>
    <row r="42" spans="1:20" ht="17.25" hidden="1" customHeight="1">
      <c r="A42" s="110" t="str">
        <f t="shared" si="7"/>
        <v>Commingle</v>
      </c>
      <c r="B42" s="132">
        <f>SUMIFS('Transaction Data'!$L:$L,'Transaction Data'!$A:$A,B$34,'Transaction Data'!$E:$E,$A42)</f>
        <v>0</v>
      </c>
      <c r="C42" s="189">
        <f>SUMIFS('Transaction Data'!$L:$L,'Transaction Data'!$A:$A,C$34,'Transaction Data'!$E:$E,$A42)</f>
        <v>0</v>
      </c>
      <c r="D42" s="190">
        <f>SUMIFS('Transaction Data'!$L:$L,'Transaction Data'!$A:$A,D$34,'Transaction Data'!$E:$E,$A42)</f>
        <v>0</v>
      </c>
      <c r="E42" s="190">
        <f>SUMIFS('Transaction Data'!$L:$L,'Transaction Data'!$A:$A,E$34,'Transaction Data'!$E:$E,$A42)</f>
        <v>0</v>
      </c>
      <c r="F42" s="190">
        <f>SUMIFS('Transaction Data'!$L:$L,'Transaction Data'!$A:$A,F$34,'Transaction Data'!$E:$E,$A42)</f>
        <v>0</v>
      </c>
      <c r="G42" s="190">
        <f>SUMIFS('Transaction Data'!$L:$L,'Transaction Data'!$A:$A,G$34,'Transaction Data'!$E:$E,$A42)</f>
        <v>0</v>
      </c>
      <c r="H42" s="190">
        <f>SUMIFS('Transaction Data'!$L:$L,'Transaction Data'!$A:$A,H$34,'Transaction Data'!$E:$E,$A42)</f>
        <v>0</v>
      </c>
      <c r="I42" s="190">
        <f>SUMIFS('Transaction Data'!$L:$L,'Transaction Data'!$A:$A,I$34,'Transaction Data'!$E:$E,$A42)</f>
        <v>0</v>
      </c>
      <c r="J42" s="190">
        <f>SUMIFS('Transaction Data'!$L:$L,'Transaction Data'!$A:$A,J$34,'Transaction Data'!$E:$E,$A42)</f>
        <v>0</v>
      </c>
      <c r="K42" s="190">
        <f>SUMIFS('Transaction Data'!$L:$L,'Transaction Data'!$A:$A,K$34,'Transaction Data'!$E:$E,$A42)</f>
        <v>0</v>
      </c>
      <c r="L42" s="190">
        <f>SUMIFS('Transaction Data'!$L:$L,'Transaction Data'!$A:$A,L$34,'Transaction Data'!$E:$E,$A42)</f>
        <v>0</v>
      </c>
      <c r="M42" s="190">
        <f>SUMIFS('Transaction Data'!$L:$L,'Transaction Data'!$A:$A,M$34,'Transaction Data'!$E:$E,$A42)</f>
        <v>0</v>
      </c>
      <c r="N42" s="190">
        <f>SUMIFS('Transaction Data'!$L:$L,'Transaction Data'!$A:$A,N$34,'Transaction Data'!$E:$E,$A42)</f>
        <v>0</v>
      </c>
      <c r="O42" s="191">
        <f t="shared" si="8"/>
        <v>0</v>
      </c>
      <c r="Q42" s="122">
        <f>$I$5</f>
        <v>44927</v>
      </c>
      <c r="R42" s="125">
        <f>IFERROR(I$58/I$57,0)</f>
        <v>0</v>
      </c>
      <c r="S42" s="125">
        <f>IFERROR(I$59/I$57,0)</f>
        <v>0</v>
      </c>
      <c r="T42" s="126">
        <f>IFERROR(AVERAGEIF($R$36:R42,"&lt;&gt;0.00"),0)</f>
        <v>0</v>
      </c>
    </row>
    <row r="43" spans="1:20" ht="17.25" hidden="1" customHeight="1">
      <c r="A43" s="110" t="str">
        <f t="shared" si="7"/>
        <v>Timber</v>
      </c>
      <c r="B43" s="132">
        <f>SUMIFS('Transaction Data'!$L:$L,'Transaction Data'!$A:$A,B$34,'Transaction Data'!$E:$E,$A43)</f>
        <v>0</v>
      </c>
      <c r="C43" s="189">
        <f>SUMIFS('Transaction Data'!$L:$L,'Transaction Data'!$A:$A,C$34,'Transaction Data'!$E:$E,$A43)</f>
        <v>0</v>
      </c>
      <c r="D43" s="190">
        <f>SUMIFS('Transaction Data'!$L:$L,'Transaction Data'!$A:$A,D$34,'Transaction Data'!$E:$E,$A43)</f>
        <v>0</v>
      </c>
      <c r="E43" s="190">
        <f>SUMIFS('Transaction Data'!$L:$L,'Transaction Data'!$A:$A,E$34,'Transaction Data'!$E:$E,$A43)</f>
        <v>0</v>
      </c>
      <c r="F43" s="190">
        <f>SUMIFS('Transaction Data'!$L:$L,'Transaction Data'!$A:$A,F$34,'Transaction Data'!$E:$E,$A43)</f>
        <v>0</v>
      </c>
      <c r="G43" s="190">
        <f>SUMIFS('Transaction Data'!$L:$L,'Transaction Data'!$A:$A,G$34,'Transaction Data'!$E:$E,$A43)</f>
        <v>0</v>
      </c>
      <c r="H43" s="190">
        <f>SUMIFS('Transaction Data'!$L:$L,'Transaction Data'!$A:$A,H$34,'Transaction Data'!$E:$E,$A43)</f>
        <v>0</v>
      </c>
      <c r="I43" s="190">
        <f>SUMIFS('Transaction Data'!$L:$L,'Transaction Data'!$A:$A,I$34,'Transaction Data'!$E:$E,$A43)</f>
        <v>0</v>
      </c>
      <c r="J43" s="190">
        <f>SUMIFS('Transaction Data'!$L:$L,'Transaction Data'!$A:$A,J$34,'Transaction Data'!$E:$E,$A43)</f>
        <v>0</v>
      </c>
      <c r="K43" s="190">
        <f>SUMIFS('Transaction Data'!$L:$L,'Transaction Data'!$A:$A,K$34,'Transaction Data'!$E:$E,$A43)</f>
        <v>0</v>
      </c>
      <c r="L43" s="190">
        <f>SUMIFS('Transaction Data'!$L:$L,'Transaction Data'!$A:$A,L$34,'Transaction Data'!$E:$E,$A43)</f>
        <v>0</v>
      </c>
      <c r="M43" s="190">
        <f>SUMIFS('Transaction Data'!$L:$L,'Transaction Data'!$A:$A,M$34,'Transaction Data'!$E:$E,$A43)</f>
        <v>0</v>
      </c>
      <c r="N43" s="190">
        <f>SUMIFS('Transaction Data'!$L:$L,'Transaction Data'!$A:$A,N$34,'Transaction Data'!$E:$E,$A43)</f>
        <v>0</v>
      </c>
      <c r="O43" s="191">
        <f t="shared" si="8"/>
        <v>0</v>
      </c>
      <c r="Q43" s="122">
        <f>$J$5</f>
        <v>44958</v>
      </c>
      <c r="R43" s="125">
        <f>IFERROR(J$58/J$57,0)</f>
        <v>0</v>
      </c>
      <c r="S43" s="125">
        <f>IFERROR(J$59/J$57,0)</f>
        <v>0</v>
      </c>
      <c r="T43" s="126">
        <f>IFERROR(AVERAGEIF($R$36:R43,"&lt;&gt;0.00"),0)</f>
        <v>0</v>
      </c>
    </row>
    <row r="44" spans="1:20" ht="16.5" hidden="1" customHeight="1">
      <c r="A44" s="110" t="str">
        <f t="shared" ref="A44:A56" si="9">A15</f>
        <v>Liquids</v>
      </c>
      <c r="B44" s="132">
        <f>SUMIFS('Transaction Data'!$L:$L,'Transaction Data'!$A:$A,B$34,'Transaction Data'!$E:$E,$A44)</f>
        <v>0</v>
      </c>
      <c r="C44" s="189">
        <f>SUMIFS('Transaction Data'!$L:$L,'Transaction Data'!$A:$A,C$34,'Transaction Data'!$E:$E,$A44)</f>
        <v>0</v>
      </c>
      <c r="D44" s="190">
        <f>SUMIFS('Transaction Data'!$L:$L,'Transaction Data'!$A:$A,D$34,'Transaction Data'!$E:$E,$A44)</f>
        <v>0</v>
      </c>
      <c r="E44" s="190">
        <f>SUMIFS('Transaction Data'!$L:$L,'Transaction Data'!$A:$A,E$34,'Transaction Data'!$E:$E,$A44)</f>
        <v>0</v>
      </c>
      <c r="F44" s="190">
        <f>SUMIFS('Transaction Data'!$L:$L,'Transaction Data'!$A:$A,F$34,'Transaction Data'!$E:$E,$A44)</f>
        <v>0</v>
      </c>
      <c r="G44" s="190">
        <f>SUMIFS('Transaction Data'!$L:$L,'Transaction Data'!$A:$A,G$34,'Transaction Data'!$E:$E,$A44)</f>
        <v>0</v>
      </c>
      <c r="H44" s="190">
        <f>SUMIFS('Transaction Data'!$L:$L,'Transaction Data'!$A:$A,H$34,'Transaction Data'!$E:$E,$A44)</f>
        <v>0</v>
      </c>
      <c r="I44" s="190">
        <f>SUMIFS('Transaction Data'!$L:$L,'Transaction Data'!$A:$A,I$34,'Transaction Data'!$E:$E,$A44)</f>
        <v>0</v>
      </c>
      <c r="J44" s="190">
        <f>SUMIFS('Transaction Data'!$L:$L,'Transaction Data'!$A:$A,J$34,'Transaction Data'!$E:$E,$A44)</f>
        <v>0</v>
      </c>
      <c r="K44" s="190">
        <f>SUMIFS('Transaction Data'!$L:$L,'Transaction Data'!$A:$A,K$34,'Transaction Data'!$E:$E,$A44)</f>
        <v>0</v>
      </c>
      <c r="L44" s="190">
        <f>SUMIFS('Transaction Data'!$L:$L,'Transaction Data'!$A:$A,L$34,'Transaction Data'!$E:$E,$A44)</f>
        <v>0</v>
      </c>
      <c r="M44" s="190">
        <f>SUMIFS('Transaction Data'!$L:$L,'Transaction Data'!$A:$A,M$34,'Transaction Data'!$E:$E,$A44)</f>
        <v>0</v>
      </c>
      <c r="N44" s="190">
        <f>SUMIFS('Transaction Data'!$L:$L,'Transaction Data'!$A:$A,N$34,'Transaction Data'!$E:$E,$A44)</f>
        <v>0</v>
      </c>
      <c r="O44" s="191">
        <f t="shared" si="8"/>
        <v>0</v>
      </c>
      <c r="Q44" s="122">
        <f>$K$5</f>
        <v>44986</v>
      </c>
      <c r="R44" s="125">
        <f>IFERROR(K$58/K$57,0)</f>
        <v>0</v>
      </c>
      <c r="S44" s="125">
        <f>IFERROR(K$59/K$57,0)</f>
        <v>0</v>
      </c>
      <c r="T44" s="126">
        <f>IFERROR(AVERAGEIF($R$36:R44,"&lt;&gt;0.00"),0)</f>
        <v>0</v>
      </c>
    </row>
    <row r="45" spans="1:20" ht="16.5" hidden="1" customHeight="1">
      <c r="A45" s="110" t="str">
        <f t="shared" si="9"/>
        <v>Glass</v>
      </c>
      <c r="B45" s="132">
        <f>SUMIFS('Transaction Data'!$L:$L,'Transaction Data'!$A:$A,B$34,'Transaction Data'!$E:$E,$A45)</f>
        <v>0</v>
      </c>
      <c r="C45" s="189">
        <f>SUMIFS('Transaction Data'!$L:$L,'Transaction Data'!$A:$A,C$34,'Transaction Data'!$E:$E,$A45)</f>
        <v>0</v>
      </c>
      <c r="D45" s="190">
        <f>SUMIFS('Transaction Data'!$L:$L,'Transaction Data'!$A:$A,D$34,'Transaction Data'!$E:$E,$A45)</f>
        <v>0</v>
      </c>
      <c r="E45" s="190">
        <f>SUMIFS('Transaction Data'!$L:$L,'Transaction Data'!$A:$A,E$34,'Transaction Data'!$E:$E,$A45)</f>
        <v>0</v>
      </c>
      <c r="F45" s="190">
        <f>SUMIFS('Transaction Data'!$L:$L,'Transaction Data'!$A:$A,F$34,'Transaction Data'!$E:$E,$A45)</f>
        <v>0</v>
      </c>
      <c r="G45" s="190">
        <f>SUMIFS('Transaction Data'!$L:$L,'Transaction Data'!$A:$A,G$34,'Transaction Data'!$E:$E,$A45)</f>
        <v>0</v>
      </c>
      <c r="H45" s="190">
        <f>SUMIFS('Transaction Data'!$L:$L,'Transaction Data'!$A:$A,H$34,'Transaction Data'!$E:$E,$A45)</f>
        <v>0</v>
      </c>
      <c r="I45" s="190">
        <f>SUMIFS('Transaction Data'!$L:$L,'Transaction Data'!$A:$A,I$34,'Transaction Data'!$E:$E,$A45)</f>
        <v>0</v>
      </c>
      <c r="J45" s="190">
        <f>SUMIFS('Transaction Data'!$L:$L,'Transaction Data'!$A:$A,J$34,'Transaction Data'!$E:$E,$A45)</f>
        <v>0</v>
      </c>
      <c r="K45" s="190">
        <f>SUMIFS('Transaction Data'!$L:$L,'Transaction Data'!$A:$A,K$34,'Transaction Data'!$E:$E,$A45)</f>
        <v>0</v>
      </c>
      <c r="L45" s="190">
        <f>SUMIFS('Transaction Data'!$L:$L,'Transaction Data'!$A:$A,L$34,'Transaction Data'!$E:$E,$A45)</f>
        <v>0</v>
      </c>
      <c r="M45" s="190">
        <f>SUMIFS('Transaction Data'!$L:$L,'Transaction Data'!$A:$A,M$34,'Transaction Data'!$E:$E,$A45)</f>
        <v>0</v>
      </c>
      <c r="N45" s="190">
        <f>SUMIFS('Transaction Data'!$L:$L,'Transaction Data'!$A:$A,N$34,'Transaction Data'!$E:$E,$A45)</f>
        <v>0</v>
      </c>
      <c r="O45" s="191">
        <f t="shared" si="8"/>
        <v>0</v>
      </c>
      <c r="Q45" s="122">
        <f>$L$5</f>
        <v>45017</v>
      </c>
      <c r="R45" s="125">
        <f>IFERROR(L$58/L$57,0)</f>
        <v>0</v>
      </c>
      <c r="S45" s="125">
        <f>IFERROR(L$59/L$57,0)</f>
        <v>0</v>
      </c>
      <c r="T45" s="126">
        <f>IFERROR(AVERAGEIF($R$36:R45,"&lt;&gt;0.00"),0)</f>
        <v>0</v>
      </c>
    </row>
    <row r="46" spans="1:20" ht="16.5" customHeight="1">
      <c r="A46" s="110" t="str">
        <f t="shared" si="9"/>
        <v>Gun Washer</v>
      </c>
      <c r="B46" s="132">
        <f>SUMIFS('Transaction Data'!$L:$L,'Transaction Data'!$A:$A,B$34,'Transaction Data'!$E:$E,$A46)</f>
        <v>0</v>
      </c>
      <c r="C46" s="189">
        <f>SUMIFS('Transaction Data'!$L:$L,'Transaction Data'!$A:$A,C$34,'Transaction Data'!$E:$E,$A46)</f>
        <v>0</v>
      </c>
      <c r="D46" s="190">
        <f>SUMIFS('Transaction Data'!$L:$L,'Transaction Data'!$A:$A,D$34,'Transaction Data'!$E:$E,$A46)</f>
        <v>0</v>
      </c>
      <c r="E46" s="190">
        <f>SUMIFS('Transaction Data'!$L:$L,'Transaction Data'!$A:$A,E$34,'Transaction Data'!$E:$E,$A46)</f>
        <v>0</v>
      </c>
      <c r="F46" s="190">
        <f>SUMIFS('Transaction Data'!$L:$L,'Transaction Data'!$A:$A,F$34,'Transaction Data'!$E:$E,$A46)</f>
        <v>0</v>
      </c>
      <c r="G46" s="190">
        <f>SUMIFS('Transaction Data'!$L:$L,'Transaction Data'!$A:$A,G$34,'Transaction Data'!$E:$E,$A46)</f>
        <v>0</v>
      </c>
      <c r="H46" s="190">
        <f>SUMIFS('Transaction Data'!$L:$L,'Transaction Data'!$A:$A,H$34,'Transaction Data'!$E:$E,$A46)</f>
        <v>0</v>
      </c>
      <c r="I46" s="190">
        <f>SUMIFS('Transaction Data'!$L:$L,'Transaction Data'!$A:$A,I$34,'Transaction Data'!$E:$E,$A46)</f>
        <v>0</v>
      </c>
      <c r="J46" s="190">
        <f>SUMIFS('Transaction Data'!$L:$L,'Transaction Data'!$A:$A,J$34,'Transaction Data'!$E:$E,$A46)</f>
        <v>0</v>
      </c>
      <c r="K46" s="190">
        <f>SUMIFS('Transaction Data'!$L:$L,'Transaction Data'!$A:$A,K$34,'Transaction Data'!$E:$E,$A46)</f>
        <v>0</v>
      </c>
      <c r="L46" s="190">
        <f>SUMIFS('Transaction Data'!$L:$L,'Transaction Data'!$A:$A,L$34,'Transaction Data'!$E:$E,$A46)</f>
        <v>0</v>
      </c>
      <c r="M46" s="190">
        <f>SUMIFS('Transaction Data'!$L:$L,'Transaction Data'!$A:$A,M$34,'Transaction Data'!$E:$E,$A46)</f>
        <v>0</v>
      </c>
      <c r="N46" s="190">
        <f>SUMIFS('Transaction Data'!$L:$L,'Transaction Data'!$A:$A,N$34,'Transaction Data'!$E:$E,$A46)</f>
        <v>0</v>
      </c>
      <c r="O46" s="191">
        <f t="shared" si="8"/>
        <v>0</v>
      </c>
      <c r="Q46" s="122">
        <f>$M$5</f>
        <v>45047</v>
      </c>
      <c r="R46" s="125">
        <f>IFERROR(M$58/M$57,0)</f>
        <v>0</v>
      </c>
      <c r="S46" s="125">
        <f>IFERROR(M$59/M$57,0)</f>
        <v>0</v>
      </c>
      <c r="T46" s="126">
        <f>IFERROR(AVERAGEIF($R$36:R46,"&lt;&gt;0.00"),0)</f>
        <v>0</v>
      </c>
    </row>
    <row r="47" spans="1:20" ht="17.25" customHeight="1">
      <c r="A47" s="110" t="str">
        <f t="shared" si="9"/>
        <v>Paper</v>
      </c>
      <c r="B47" s="132">
        <f>SUMIFS('Transaction Data'!$L:$L,'Transaction Data'!$A:$A,B$34,'Transaction Data'!$E:$E,$A47)</f>
        <v>0</v>
      </c>
      <c r="C47" s="189">
        <f>SUMIFS('Transaction Data'!$L:$L,'Transaction Data'!$A:$A,C$34,'Transaction Data'!$E:$E,$A47)</f>
        <v>0</v>
      </c>
      <c r="D47" s="190">
        <f>SUMIFS('Transaction Data'!$L:$L,'Transaction Data'!$A:$A,D$34,'Transaction Data'!$E:$E,$A47)</f>
        <v>0</v>
      </c>
      <c r="E47" s="190">
        <f>SUMIFS('Transaction Data'!$L:$L,'Transaction Data'!$A:$A,E$34,'Transaction Data'!$E:$E,$A47)</f>
        <v>0</v>
      </c>
      <c r="F47" s="190">
        <f>SUMIFS('Transaction Data'!$L:$L,'Transaction Data'!$A:$A,F$34,'Transaction Data'!$E:$E,$A47)</f>
        <v>0</v>
      </c>
      <c r="G47" s="190">
        <f>SUMIFS('Transaction Data'!$L:$L,'Transaction Data'!$A:$A,G$34,'Transaction Data'!$E:$E,$A47)</f>
        <v>0</v>
      </c>
      <c r="H47" s="190">
        <f>SUMIFS('Transaction Data'!$L:$L,'Transaction Data'!$A:$A,H$34,'Transaction Data'!$E:$E,$A47)</f>
        <v>0</v>
      </c>
      <c r="I47" s="190">
        <f>SUMIFS('Transaction Data'!$L:$L,'Transaction Data'!$A:$A,I$34,'Transaction Data'!$E:$E,$A47)</f>
        <v>0</v>
      </c>
      <c r="J47" s="190">
        <f>SUMIFS('Transaction Data'!$L:$L,'Transaction Data'!$A:$A,J$34,'Transaction Data'!$E:$E,$A47)</f>
        <v>0</v>
      </c>
      <c r="K47" s="190">
        <f>SUMIFS('Transaction Data'!$L:$L,'Transaction Data'!$A:$A,K$34,'Transaction Data'!$E:$E,$A47)</f>
        <v>0</v>
      </c>
      <c r="L47" s="190">
        <f>SUMIFS('Transaction Data'!$L:$L,'Transaction Data'!$A:$A,L$34,'Transaction Data'!$E:$E,$A47)</f>
        <v>0</v>
      </c>
      <c r="M47" s="190">
        <f>SUMIFS('Transaction Data'!$L:$L,'Transaction Data'!$A:$A,M$34,'Transaction Data'!$E:$E,$A47)</f>
        <v>0</v>
      </c>
      <c r="N47" s="190">
        <f>SUMIFS('Transaction Data'!$L:$L,'Transaction Data'!$A:$A,N$34,'Transaction Data'!$E:$E,$A47)</f>
        <v>0</v>
      </c>
      <c r="O47" s="191">
        <f t="shared" si="8"/>
        <v>0</v>
      </c>
      <c r="Q47" s="122">
        <f>$N$5</f>
        <v>45078</v>
      </c>
      <c r="R47" s="125">
        <f>IFERROR(N$58/N$57,0)</f>
        <v>0</v>
      </c>
      <c r="S47" s="125">
        <f>IFERROR(N$59/N$57,0)</f>
        <v>0</v>
      </c>
      <c r="T47" s="126">
        <f>IFERROR(AVERAGEIF($R$36:R47,"&lt;&gt;0.00"),0)</f>
        <v>0</v>
      </c>
    </row>
    <row r="48" spans="1:20" ht="17.25" customHeight="1">
      <c r="A48" s="110" t="str">
        <f t="shared" si="9"/>
        <v>Fee's/Charges</v>
      </c>
      <c r="B48" s="132">
        <f>SUMIFS('Transaction Data'!$L:$L,'Transaction Data'!$A:$A,B$34,'Transaction Data'!$E:$E,$A48)</f>
        <v>0</v>
      </c>
      <c r="C48" s="189">
        <f>SUMIFS('Transaction Data'!$L:$L,'Transaction Data'!$A:$A,C$34,'Transaction Data'!$E:$E,$A48)</f>
        <v>0</v>
      </c>
      <c r="D48" s="190">
        <f>SUMIFS('Transaction Data'!$L:$L,'Transaction Data'!$A:$A,D$34,'Transaction Data'!$E:$E,$A48)</f>
        <v>0</v>
      </c>
      <c r="E48" s="190">
        <f>SUMIFS('Transaction Data'!$L:$L,'Transaction Data'!$A:$A,E$34,'Transaction Data'!$E:$E,$A48)</f>
        <v>0</v>
      </c>
      <c r="F48" s="190">
        <f>SUMIFS('Transaction Data'!$L:$L,'Transaction Data'!$A:$A,F$34,'Transaction Data'!$E:$E,$A48)</f>
        <v>0</v>
      </c>
      <c r="G48" s="190">
        <f>SUMIFS('Transaction Data'!$L:$L,'Transaction Data'!$A:$A,G$34,'Transaction Data'!$E:$E,$A48)</f>
        <v>0</v>
      </c>
      <c r="H48" s="190">
        <f>SUMIFS('Transaction Data'!$L:$L,'Transaction Data'!$A:$A,H$34,'Transaction Data'!$E:$E,$A48)</f>
        <v>0</v>
      </c>
      <c r="I48" s="190">
        <f>SUMIFS('Transaction Data'!$L:$L,'Transaction Data'!$A:$A,I$34,'Transaction Data'!$E:$E,$A48)</f>
        <v>0</v>
      </c>
      <c r="J48" s="190">
        <f>SUMIFS('Transaction Data'!$L:$L,'Transaction Data'!$A:$A,J$34,'Transaction Data'!$E:$E,$A48)</f>
        <v>0</v>
      </c>
      <c r="K48" s="190">
        <f>SUMIFS('Transaction Data'!$L:$L,'Transaction Data'!$A:$A,K$34,'Transaction Data'!$E:$E,$A48)</f>
        <v>0</v>
      </c>
      <c r="L48" s="190">
        <f>SUMIFS('Transaction Data'!$L:$L,'Transaction Data'!$A:$A,L$34,'Transaction Data'!$E:$E,$A48)</f>
        <v>0</v>
      </c>
      <c r="M48" s="190">
        <f>SUMIFS('Transaction Data'!$L:$L,'Transaction Data'!$A:$A,M$34,'Transaction Data'!$E:$E,$A48)</f>
        <v>0</v>
      </c>
      <c r="N48" s="190">
        <f>SUMIFS('Transaction Data'!$L:$L,'Transaction Data'!$A:$A,N$34,'Transaction Data'!$E:$E,$A48)</f>
        <v>0</v>
      </c>
      <c r="O48" s="191">
        <f t="shared" si="8"/>
        <v>0</v>
      </c>
      <c r="Q48" s="122"/>
      <c r="R48" s="125"/>
      <c r="S48" s="125"/>
      <c r="T48" s="126"/>
    </row>
    <row r="49" spans="1:20" ht="17.100000000000001" hidden="1" customHeight="1">
      <c r="A49" s="110">
        <f t="shared" si="9"/>
        <v>0</v>
      </c>
      <c r="B49" s="132">
        <f>SUMIFS('Transaction Data'!$L:$L,'Transaction Data'!$A:$A,B$34,'Transaction Data'!$E:$E,$A49)</f>
        <v>0</v>
      </c>
      <c r="C49" s="189">
        <f>SUMIFS('Transaction Data'!$L:$L,'Transaction Data'!$A:$A,C$34,'Transaction Data'!$E:$E,$A49)</f>
        <v>0</v>
      </c>
      <c r="D49" s="190">
        <f>SUMIFS('Transaction Data'!$L:$L,'Transaction Data'!$A:$A,D$34,'Transaction Data'!$E:$E,$A49)</f>
        <v>0</v>
      </c>
      <c r="E49" s="190">
        <f>SUMIFS('Transaction Data'!$L:$L,'Transaction Data'!$A:$A,E$34,'Transaction Data'!$E:$E,$A49)</f>
        <v>0</v>
      </c>
      <c r="F49" s="190">
        <f>SUMIFS('Transaction Data'!$L:$L,'Transaction Data'!$A:$A,F$34,'Transaction Data'!$E:$E,$A49)</f>
        <v>0</v>
      </c>
      <c r="G49" s="190">
        <f>SUMIFS('Transaction Data'!$L:$L,'Transaction Data'!$A:$A,G$34,'Transaction Data'!$E:$E,$A49)</f>
        <v>0</v>
      </c>
      <c r="H49" s="190">
        <f>SUMIFS('Transaction Data'!$L:$L,'Transaction Data'!$A:$A,H$34,'Transaction Data'!$E:$E,$A49)</f>
        <v>0</v>
      </c>
      <c r="I49" s="190">
        <f>SUMIFS('Transaction Data'!$L:$L,'Transaction Data'!$A:$A,I$34,'Transaction Data'!$E:$E,$A49)</f>
        <v>0</v>
      </c>
      <c r="J49" s="190">
        <f>SUMIFS('Transaction Data'!$L:$L,'Transaction Data'!$A:$A,J$34,'Transaction Data'!$E:$E,$A49)</f>
        <v>0</v>
      </c>
      <c r="K49" s="190">
        <f>SUMIFS('Transaction Data'!$L:$L,'Transaction Data'!$A:$A,K$34,'Transaction Data'!$E:$E,$A49)</f>
        <v>0</v>
      </c>
      <c r="L49" s="190">
        <f>SUMIFS('Transaction Data'!$L:$L,'Transaction Data'!$A:$A,L$34,'Transaction Data'!$E:$E,$A49)</f>
        <v>0</v>
      </c>
      <c r="M49" s="190">
        <f>SUMIFS('Transaction Data'!$L:$L,'Transaction Data'!$A:$A,M$34,'Transaction Data'!$E:$E,$A49)</f>
        <v>0</v>
      </c>
      <c r="N49" s="190">
        <f>SUMIFS('Transaction Data'!$L:$L,'Transaction Data'!$A:$A,N$34,'Transaction Data'!$E:$E,$A49)</f>
        <v>0</v>
      </c>
      <c r="O49" s="191">
        <f t="shared" si="8"/>
        <v>0</v>
      </c>
      <c r="Q49" s="122"/>
      <c r="R49" s="125"/>
      <c r="S49" s="125"/>
      <c r="T49" s="126"/>
    </row>
    <row r="50" spans="1:20" ht="17.25" hidden="1" customHeight="1">
      <c r="A50" s="110">
        <f t="shared" si="9"/>
        <v>0</v>
      </c>
      <c r="B50" s="132">
        <f>SUMIFS('Transaction Data'!$L:$L,'Transaction Data'!$A:$A,B$34,'Transaction Data'!$E:$E,$A50)</f>
        <v>0</v>
      </c>
      <c r="C50" s="189">
        <f>SUMIFS('Transaction Data'!$L:$L,'Transaction Data'!$A:$A,C$34,'Transaction Data'!$E:$E,$A50)</f>
        <v>0</v>
      </c>
      <c r="D50" s="190">
        <f>SUMIFS('Transaction Data'!$L:$L,'Transaction Data'!$A:$A,D$34,'Transaction Data'!$E:$E,$A50)</f>
        <v>0</v>
      </c>
      <c r="E50" s="190">
        <f>SUMIFS('Transaction Data'!$L:$L,'Transaction Data'!$A:$A,E$34,'Transaction Data'!$E:$E,$A50)</f>
        <v>0</v>
      </c>
      <c r="F50" s="190">
        <f>SUMIFS('Transaction Data'!$L:$L,'Transaction Data'!$A:$A,F$34,'Transaction Data'!$E:$E,$A50)</f>
        <v>0</v>
      </c>
      <c r="G50" s="190">
        <f>SUMIFS('Transaction Data'!$L:$L,'Transaction Data'!$A:$A,G$34,'Transaction Data'!$E:$E,$A50)</f>
        <v>0</v>
      </c>
      <c r="H50" s="190">
        <f>SUMIFS('Transaction Data'!$L:$L,'Transaction Data'!$A:$A,H$34,'Transaction Data'!$E:$E,$A50)</f>
        <v>0</v>
      </c>
      <c r="I50" s="190">
        <f>SUMIFS('Transaction Data'!$L:$L,'Transaction Data'!$A:$A,I$34,'Transaction Data'!$E:$E,$A50)</f>
        <v>0</v>
      </c>
      <c r="J50" s="190">
        <f>SUMIFS('Transaction Data'!$L:$L,'Transaction Data'!$A:$A,J$34,'Transaction Data'!$E:$E,$A50)</f>
        <v>0</v>
      </c>
      <c r="K50" s="190">
        <f>SUMIFS('Transaction Data'!$L:$L,'Transaction Data'!$A:$A,K$34,'Transaction Data'!$E:$E,$A50)</f>
        <v>0</v>
      </c>
      <c r="L50" s="190">
        <f>SUMIFS('Transaction Data'!$L:$L,'Transaction Data'!$A:$A,L$34,'Transaction Data'!$E:$E,$A50)</f>
        <v>0</v>
      </c>
      <c r="M50" s="190">
        <f>SUMIFS('Transaction Data'!$L:$L,'Transaction Data'!$A:$A,M$34,'Transaction Data'!$E:$E,$A50)</f>
        <v>0</v>
      </c>
      <c r="N50" s="190">
        <f>SUMIFS('Transaction Data'!$L:$L,'Transaction Data'!$A:$A,N$34,'Transaction Data'!$E:$E,$A50)</f>
        <v>0</v>
      </c>
      <c r="O50" s="191">
        <f t="shared" si="8"/>
        <v>0</v>
      </c>
      <c r="Q50" s="122"/>
      <c r="R50" s="125"/>
      <c r="S50" s="125"/>
      <c r="T50" s="126"/>
    </row>
    <row r="51" spans="1:20" ht="17.25" hidden="1" customHeight="1">
      <c r="A51" s="110">
        <f t="shared" si="9"/>
        <v>0</v>
      </c>
      <c r="B51" s="132">
        <f>SUMIFS('Transaction Data'!$L:$L,'Transaction Data'!$A:$A,B$34,'Transaction Data'!$E:$E,$A51)</f>
        <v>0</v>
      </c>
      <c r="C51" s="189">
        <f>SUMIFS('Transaction Data'!$L:$L,'Transaction Data'!$A:$A,C$34,'Transaction Data'!$E:$E,$A51)</f>
        <v>0</v>
      </c>
      <c r="D51" s="190">
        <f>SUMIFS('Transaction Data'!$L:$L,'Transaction Data'!$A:$A,D$34,'Transaction Data'!$E:$E,$A51)</f>
        <v>0</v>
      </c>
      <c r="E51" s="190">
        <f>SUMIFS('Transaction Data'!$L:$L,'Transaction Data'!$A:$A,E$34,'Transaction Data'!$E:$E,$A51)</f>
        <v>0</v>
      </c>
      <c r="F51" s="190">
        <f>SUMIFS('Transaction Data'!$L:$L,'Transaction Data'!$A:$A,F$34,'Transaction Data'!$E:$E,$A51)</f>
        <v>0</v>
      </c>
      <c r="G51" s="190">
        <f>SUMIFS('Transaction Data'!$L:$L,'Transaction Data'!$A:$A,G$34,'Transaction Data'!$E:$E,$A51)</f>
        <v>0</v>
      </c>
      <c r="H51" s="190">
        <f>SUMIFS('Transaction Data'!$L:$L,'Transaction Data'!$A:$A,H$34,'Transaction Data'!$E:$E,$A51)</f>
        <v>0</v>
      </c>
      <c r="I51" s="190">
        <f>SUMIFS('Transaction Data'!$L:$L,'Transaction Data'!$A:$A,I$34,'Transaction Data'!$E:$E,$A51)</f>
        <v>0</v>
      </c>
      <c r="J51" s="190">
        <f>SUMIFS('Transaction Data'!$L:$L,'Transaction Data'!$A:$A,J$34,'Transaction Data'!$E:$E,$A51)</f>
        <v>0</v>
      </c>
      <c r="K51" s="190">
        <f>SUMIFS('Transaction Data'!$L:$L,'Transaction Data'!$A:$A,K$34,'Transaction Data'!$E:$E,$A51)</f>
        <v>0</v>
      </c>
      <c r="L51" s="190">
        <f>SUMIFS('Transaction Data'!$L:$L,'Transaction Data'!$A:$A,L$34,'Transaction Data'!$E:$E,$A51)</f>
        <v>0</v>
      </c>
      <c r="M51" s="190">
        <f>SUMIFS('Transaction Data'!$L:$L,'Transaction Data'!$A:$A,M$34,'Transaction Data'!$E:$E,$A51)</f>
        <v>0</v>
      </c>
      <c r="N51" s="190">
        <f>SUMIFS('Transaction Data'!$L:$L,'Transaction Data'!$A:$A,N$34,'Transaction Data'!$E:$E,$A51)</f>
        <v>0</v>
      </c>
      <c r="O51" s="191">
        <f t="shared" si="8"/>
        <v>0</v>
      </c>
      <c r="Q51" s="122"/>
      <c r="R51" s="125"/>
      <c r="S51" s="125"/>
      <c r="T51" s="126"/>
    </row>
    <row r="52" spans="1:20" ht="17.25" hidden="1" customHeight="1">
      <c r="A52" s="110">
        <f t="shared" si="9"/>
        <v>0</v>
      </c>
      <c r="B52" s="132">
        <f>SUMIFS('Transaction Data'!$L:$L,'Transaction Data'!$A:$A,B$34,'Transaction Data'!$E:$E,$A52)</f>
        <v>0</v>
      </c>
      <c r="C52" s="189">
        <f>SUMIFS('Transaction Data'!$L:$L,'Transaction Data'!$A:$A,C$34,'Transaction Data'!$E:$E,$A52)</f>
        <v>0</v>
      </c>
      <c r="D52" s="190">
        <f>SUMIFS('Transaction Data'!$L:$L,'Transaction Data'!$A:$A,D$34,'Transaction Data'!$E:$E,$A52)</f>
        <v>0</v>
      </c>
      <c r="E52" s="190">
        <f>SUMIFS('Transaction Data'!$L:$L,'Transaction Data'!$A:$A,E$34,'Transaction Data'!$E:$E,$A52)</f>
        <v>0</v>
      </c>
      <c r="F52" s="190">
        <f>SUMIFS('Transaction Data'!$L:$L,'Transaction Data'!$A:$A,F$34,'Transaction Data'!$E:$E,$A52)</f>
        <v>0</v>
      </c>
      <c r="G52" s="190">
        <f>SUMIFS('Transaction Data'!$L:$L,'Transaction Data'!$A:$A,G$34,'Transaction Data'!$E:$E,$A52)</f>
        <v>0</v>
      </c>
      <c r="H52" s="190">
        <f>SUMIFS('Transaction Data'!$L:$L,'Transaction Data'!$A:$A,H$34,'Transaction Data'!$E:$E,$A52)</f>
        <v>0</v>
      </c>
      <c r="I52" s="190">
        <f>SUMIFS('Transaction Data'!$L:$L,'Transaction Data'!$A:$A,I$34,'Transaction Data'!$E:$E,$A52)</f>
        <v>0</v>
      </c>
      <c r="J52" s="190">
        <f>SUMIFS('Transaction Data'!$L:$L,'Transaction Data'!$A:$A,J$34,'Transaction Data'!$E:$E,$A52)</f>
        <v>0</v>
      </c>
      <c r="K52" s="190">
        <f>SUMIFS('Transaction Data'!$L:$L,'Transaction Data'!$A:$A,K$34,'Transaction Data'!$E:$E,$A52)</f>
        <v>0</v>
      </c>
      <c r="L52" s="190">
        <f>SUMIFS('Transaction Data'!$L:$L,'Transaction Data'!$A:$A,L$34,'Transaction Data'!$E:$E,$A52)</f>
        <v>0</v>
      </c>
      <c r="M52" s="190">
        <f>SUMIFS('Transaction Data'!$L:$L,'Transaction Data'!$A:$A,M$34,'Transaction Data'!$E:$E,$A52)</f>
        <v>0</v>
      </c>
      <c r="N52" s="190">
        <f>SUMIFS('Transaction Data'!$L:$L,'Transaction Data'!$A:$A,N$34,'Transaction Data'!$E:$E,$A52)</f>
        <v>0</v>
      </c>
      <c r="O52" s="191">
        <f t="shared" si="8"/>
        <v>0</v>
      </c>
      <c r="Q52" s="122"/>
      <c r="R52" s="125"/>
      <c r="S52" s="125"/>
      <c r="T52" s="126"/>
    </row>
    <row r="53" spans="1:20" ht="17.25" hidden="1" customHeight="1">
      <c r="A53" s="110">
        <f t="shared" si="9"/>
        <v>0</v>
      </c>
      <c r="B53" s="132">
        <f>SUMIFS('Transaction Data'!$L:$L,'Transaction Data'!$A:$A,B$34,'Transaction Data'!$E:$E,$A53)</f>
        <v>0</v>
      </c>
      <c r="C53" s="189">
        <f>SUMIFS('Transaction Data'!$L:$L,'Transaction Data'!$A:$A,C$34,'Transaction Data'!$E:$E,$A53)</f>
        <v>0</v>
      </c>
      <c r="D53" s="190">
        <f>SUMIFS('Transaction Data'!$L:$L,'Transaction Data'!$A:$A,D$34,'Transaction Data'!$E:$E,$A53)</f>
        <v>0</v>
      </c>
      <c r="E53" s="190">
        <f>SUMIFS('Transaction Data'!$L:$L,'Transaction Data'!$A:$A,E$34,'Transaction Data'!$E:$E,$A53)</f>
        <v>0</v>
      </c>
      <c r="F53" s="190">
        <f>SUMIFS('Transaction Data'!$L:$L,'Transaction Data'!$A:$A,F$34,'Transaction Data'!$E:$E,$A53)</f>
        <v>0</v>
      </c>
      <c r="G53" s="190">
        <f>SUMIFS('Transaction Data'!$L:$L,'Transaction Data'!$A:$A,G$34,'Transaction Data'!$E:$E,$A53)</f>
        <v>0</v>
      </c>
      <c r="H53" s="190">
        <f>SUMIFS('Transaction Data'!$L:$L,'Transaction Data'!$A:$A,H$34,'Transaction Data'!$E:$E,$A53)</f>
        <v>0</v>
      </c>
      <c r="I53" s="190">
        <f>SUMIFS('Transaction Data'!$L:$L,'Transaction Data'!$A:$A,I$34,'Transaction Data'!$E:$E,$A53)</f>
        <v>0</v>
      </c>
      <c r="J53" s="190">
        <f>SUMIFS('Transaction Data'!$L:$L,'Transaction Data'!$A:$A,J$34,'Transaction Data'!$E:$E,$A53)</f>
        <v>0</v>
      </c>
      <c r="K53" s="190">
        <f>SUMIFS('Transaction Data'!$L:$L,'Transaction Data'!$A:$A,K$34,'Transaction Data'!$E:$E,$A53)</f>
        <v>0</v>
      </c>
      <c r="L53" s="190">
        <f>SUMIFS('Transaction Data'!$L:$L,'Transaction Data'!$A:$A,L$34,'Transaction Data'!$E:$E,$A53)</f>
        <v>0</v>
      </c>
      <c r="M53" s="190">
        <f>SUMIFS('Transaction Data'!$L:$L,'Transaction Data'!$A:$A,M$34,'Transaction Data'!$E:$E,$A53)</f>
        <v>0</v>
      </c>
      <c r="N53" s="190">
        <f>SUMIFS('Transaction Data'!$L:$L,'Transaction Data'!$A:$A,N$34,'Transaction Data'!$E:$E,$A53)</f>
        <v>0</v>
      </c>
      <c r="O53" s="191">
        <f t="shared" si="8"/>
        <v>0</v>
      </c>
      <c r="Q53" s="122"/>
      <c r="R53" s="125"/>
      <c r="S53" s="125"/>
      <c r="T53" s="126"/>
    </row>
    <row r="54" spans="1:20" ht="17.25" hidden="1" customHeight="1">
      <c r="A54" s="110">
        <f t="shared" si="9"/>
        <v>0</v>
      </c>
      <c r="B54" s="132">
        <f>SUMIFS('Transaction Data'!$L:$L,'Transaction Data'!$A:$A,B$34,'Transaction Data'!$E:$E,$A54)</f>
        <v>0</v>
      </c>
      <c r="C54" s="189">
        <f>SUMIFS('Transaction Data'!$L:$L,'Transaction Data'!$A:$A,C$34,'Transaction Data'!$E:$E,$A54)</f>
        <v>0</v>
      </c>
      <c r="D54" s="190">
        <f>SUMIFS('Transaction Data'!$L:$L,'Transaction Data'!$A:$A,D$34,'Transaction Data'!$E:$E,$A54)</f>
        <v>0</v>
      </c>
      <c r="E54" s="190">
        <f>SUMIFS('Transaction Data'!$L:$L,'Transaction Data'!$A:$A,E$34,'Transaction Data'!$E:$E,$A54)</f>
        <v>0</v>
      </c>
      <c r="F54" s="190">
        <f>SUMIFS('Transaction Data'!$L:$L,'Transaction Data'!$A:$A,F$34,'Transaction Data'!$E:$E,$A54)</f>
        <v>0</v>
      </c>
      <c r="G54" s="190">
        <f>SUMIFS('Transaction Data'!$L:$L,'Transaction Data'!$A:$A,G$34,'Transaction Data'!$E:$E,$A54)</f>
        <v>0</v>
      </c>
      <c r="H54" s="190">
        <f>SUMIFS('Transaction Data'!$L:$L,'Transaction Data'!$A:$A,H$34,'Transaction Data'!$E:$E,$A54)</f>
        <v>0</v>
      </c>
      <c r="I54" s="190">
        <f>SUMIFS('Transaction Data'!$L:$L,'Transaction Data'!$A:$A,I$34,'Transaction Data'!$E:$E,$A54)</f>
        <v>0</v>
      </c>
      <c r="J54" s="190">
        <f>SUMIFS('Transaction Data'!$L:$L,'Transaction Data'!$A:$A,J$34,'Transaction Data'!$E:$E,$A54)</f>
        <v>0</v>
      </c>
      <c r="K54" s="190">
        <f>SUMIFS('Transaction Data'!$L:$L,'Transaction Data'!$A:$A,K$34,'Transaction Data'!$E:$E,$A54)</f>
        <v>0</v>
      </c>
      <c r="L54" s="190">
        <f>SUMIFS('Transaction Data'!$L:$L,'Transaction Data'!$A:$A,L$34,'Transaction Data'!$E:$E,$A54)</f>
        <v>0</v>
      </c>
      <c r="M54" s="190">
        <f>SUMIFS('Transaction Data'!$L:$L,'Transaction Data'!$A:$A,M$34,'Transaction Data'!$E:$E,$A54)</f>
        <v>0</v>
      </c>
      <c r="N54" s="190">
        <f>SUMIFS('Transaction Data'!$L:$L,'Transaction Data'!$A:$A,N$34,'Transaction Data'!$E:$E,$A54)</f>
        <v>0</v>
      </c>
      <c r="O54" s="191">
        <f t="shared" si="8"/>
        <v>0</v>
      </c>
      <c r="Q54" s="122"/>
      <c r="R54" s="125"/>
      <c r="S54" s="125"/>
      <c r="T54" s="126"/>
    </row>
    <row r="55" spans="1:20" ht="17.25" hidden="1" customHeight="1">
      <c r="A55" s="110">
        <f t="shared" si="9"/>
        <v>0</v>
      </c>
      <c r="B55" s="132">
        <f>SUMIFS('Transaction Data'!$L:$L,'Transaction Data'!$A:$A,B$34,'Transaction Data'!$E:$E,$A55)</f>
        <v>0</v>
      </c>
      <c r="C55" s="189">
        <f>SUMIFS('Transaction Data'!$L:$L,'Transaction Data'!$A:$A,C$34,'Transaction Data'!$E:$E,$A55)</f>
        <v>0</v>
      </c>
      <c r="D55" s="190">
        <f>SUMIFS('Transaction Data'!$L:$L,'Transaction Data'!$A:$A,D$34,'Transaction Data'!$E:$E,$A55)</f>
        <v>0</v>
      </c>
      <c r="E55" s="190">
        <f>SUMIFS('Transaction Data'!$L:$L,'Transaction Data'!$A:$A,E$34,'Transaction Data'!$E:$E,$A55)</f>
        <v>0</v>
      </c>
      <c r="F55" s="190">
        <f>SUMIFS('Transaction Data'!$L:$L,'Transaction Data'!$A:$A,F$34,'Transaction Data'!$E:$E,$A55)</f>
        <v>0</v>
      </c>
      <c r="G55" s="190">
        <f>SUMIFS('Transaction Data'!$L:$L,'Transaction Data'!$A:$A,G$34,'Transaction Data'!$E:$E,$A55)</f>
        <v>0</v>
      </c>
      <c r="H55" s="190">
        <f>SUMIFS('Transaction Data'!$L:$L,'Transaction Data'!$A:$A,H$34,'Transaction Data'!$E:$E,$A55)</f>
        <v>0</v>
      </c>
      <c r="I55" s="190">
        <f>SUMIFS('Transaction Data'!$L:$L,'Transaction Data'!$A:$A,I$34,'Transaction Data'!$E:$E,$A55)</f>
        <v>0</v>
      </c>
      <c r="J55" s="190">
        <f>SUMIFS('Transaction Data'!$L:$L,'Transaction Data'!$A:$A,J$34,'Transaction Data'!$E:$E,$A55)</f>
        <v>0</v>
      </c>
      <c r="K55" s="190">
        <f>SUMIFS('Transaction Data'!$L:$L,'Transaction Data'!$A:$A,K$34,'Transaction Data'!$E:$E,$A55)</f>
        <v>0</v>
      </c>
      <c r="L55" s="190">
        <f>SUMIFS('Transaction Data'!$L:$L,'Transaction Data'!$A:$A,L$34,'Transaction Data'!$E:$E,$A55)</f>
        <v>0</v>
      </c>
      <c r="M55" s="190">
        <f>SUMIFS('Transaction Data'!$L:$L,'Transaction Data'!$A:$A,M$34,'Transaction Data'!$E:$E,$A55)</f>
        <v>0</v>
      </c>
      <c r="N55" s="190">
        <f>SUMIFS('Transaction Data'!$L:$L,'Transaction Data'!$A:$A,N$34,'Transaction Data'!$E:$E,$A55)</f>
        <v>0</v>
      </c>
      <c r="O55" s="191">
        <f t="shared" si="8"/>
        <v>0</v>
      </c>
      <c r="Q55" s="122"/>
      <c r="R55" s="125"/>
      <c r="S55" s="125"/>
      <c r="T55" s="126"/>
    </row>
    <row r="56" spans="1:20" ht="17.25" hidden="1" customHeight="1">
      <c r="A56" s="110">
        <f t="shared" si="9"/>
        <v>0</v>
      </c>
      <c r="B56" s="132">
        <f>SUMIFS('Transaction Data'!$L:$L,'Transaction Data'!$A:$A,B$34,'Transaction Data'!$E:$E,$A56)</f>
        <v>0</v>
      </c>
      <c r="C56" s="189">
        <f>SUMIFS('Transaction Data'!$L:$L,'Transaction Data'!$A:$A,C$34,'Transaction Data'!$E:$E,$A56)</f>
        <v>0</v>
      </c>
      <c r="D56" s="190">
        <f>SUMIFS('Transaction Data'!$L:$L,'Transaction Data'!$A:$A,D$34,'Transaction Data'!$E:$E,$A56)</f>
        <v>0</v>
      </c>
      <c r="E56" s="190">
        <f>SUMIFS('Transaction Data'!$L:$L,'Transaction Data'!$A:$A,E$34,'Transaction Data'!$E:$E,$A56)</f>
        <v>0</v>
      </c>
      <c r="F56" s="190">
        <f>SUMIFS('Transaction Data'!$L:$L,'Transaction Data'!$A:$A,F$34,'Transaction Data'!$E:$E,$A56)</f>
        <v>0</v>
      </c>
      <c r="G56" s="190">
        <f>SUMIFS('Transaction Data'!$L:$L,'Transaction Data'!$A:$A,G$34,'Transaction Data'!$E:$E,$A56)</f>
        <v>0</v>
      </c>
      <c r="H56" s="190">
        <f>SUMIFS('Transaction Data'!$L:$L,'Transaction Data'!$A:$A,H$34,'Transaction Data'!$E:$E,$A56)</f>
        <v>0</v>
      </c>
      <c r="I56" s="190">
        <f>SUMIFS('Transaction Data'!$L:$L,'Transaction Data'!$A:$A,I$34,'Transaction Data'!$E:$E,$A56)</f>
        <v>0</v>
      </c>
      <c r="J56" s="190">
        <f>SUMIFS('Transaction Data'!$L:$L,'Transaction Data'!$A:$A,J$34,'Transaction Data'!$E:$E,$A56)</f>
        <v>0</v>
      </c>
      <c r="K56" s="190">
        <f>SUMIFS('Transaction Data'!$L:$L,'Transaction Data'!$A:$A,K$34,'Transaction Data'!$E:$E,$A56)</f>
        <v>0</v>
      </c>
      <c r="L56" s="190">
        <f>SUMIFS('Transaction Data'!$L:$L,'Transaction Data'!$A:$A,L$34,'Transaction Data'!$E:$E,$A56)</f>
        <v>0</v>
      </c>
      <c r="M56" s="190">
        <f>SUMIFS('Transaction Data'!$L:$L,'Transaction Data'!$A:$A,M$34,'Transaction Data'!$E:$E,$A56)</f>
        <v>0</v>
      </c>
      <c r="N56" s="190">
        <f>SUMIFS('Transaction Data'!$L:$L,'Transaction Data'!$A:$A,N$34,'Transaction Data'!$E:$E,$A56)</f>
        <v>0</v>
      </c>
      <c r="O56" s="191">
        <f t="shared" si="8"/>
        <v>0</v>
      </c>
      <c r="Q56" s="122"/>
      <c r="R56" s="125"/>
      <c r="S56" s="125"/>
      <c r="T56" s="126"/>
    </row>
    <row r="57" spans="1:20" ht="17.25" customHeight="1">
      <c r="A57" s="119" t="s">
        <v>108</v>
      </c>
      <c r="B57" s="127">
        <f>+B58+B59</f>
        <v>0</v>
      </c>
      <c r="C57" s="127">
        <f>+C58+C59</f>
        <v>0</v>
      </c>
      <c r="D57" s="127">
        <f t="shared" ref="D57" si="10">+D58+D59</f>
        <v>0</v>
      </c>
      <c r="E57" s="127">
        <f t="shared" ref="E57" si="11">+E58+E59</f>
        <v>0</v>
      </c>
      <c r="F57" s="127">
        <f t="shared" ref="F57" si="12">+F58+F59</f>
        <v>0</v>
      </c>
      <c r="G57" s="127">
        <f t="shared" ref="G57" si="13">+G58+G59</f>
        <v>0</v>
      </c>
      <c r="H57" s="127">
        <f t="shared" ref="H57" si="14">+H58+H59</f>
        <v>0</v>
      </c>
      <c r="I57" s="127">
        <f t="shared" ref="I57" si="15">+I58+I59</f>
        <v>0</v>
      </c>
      <c r="J57" s="127">
        <f t="shared" ref="J57" si="16">+J58+J59</f>
        <v>0</v>
      </c>
      <c r="K57" s="127">
        <f t="shared" ref="K57" si="17">+K58+K59</f>
        <v>0</v>
      </c>
      <c r="L57" s="127">
        <f t="shared" ref="L57" si="18">+L58+L59</f>
        <v>0</v>
      </c>
      <c r="M57" s="127">
        <f t="shared" ref="M57" si="19">+M58+M59</f>
        <v>0</v>
      </c>
      <c r="N57" s="127">
        <f t="shared" ref="N57" si="20">+N58+N59</f>
        <v>0</v>
      </c>
      <c r="O57" s="191">
        <f>SUM(C57:N57)</f>
        <v>0</v>
      </c>
      <c r="Q57" s="122"/>
      <c r="R57" s="125"/>
      <c r="S57" s="125"/>
      <c r="T57" s="126"/>
    </row>
    <row r="58" spans="1:20" ht="17.25" customHeight="1">
      <c r="A58" s="111" t="s">
        <v>109</v>
      </c>
      <c r="B58" s="128">
        <f>SUM(B40:B56)</f>
        <v>0</v>
      </c>
      <c r="C58" s="128">
        <f>SUM(C40:C56)</f>
        <v>0</v>
      </c>
      <c r="D58" s="128">
        <f t="shared" ref="D58:N58" si="21">SUM(D40:D56)</f>
        <v>0</v>
      </c>
      <c r="E58" s="128">
        <f t="shared" si="21"/>
        <v>0</v>
      </c>
      <c r="F58" s="128">
        <f t="shared" si="21"/>
        <v>0</v>
      </c>
      <c r="G58" s="128">
        <f t="shared" si="21"/>
        <v>0</v>
      </c>
      <c r="H58" s="128">
        <f t="shared" si="21"/>
        <v>0</v>
      </c>
      <c r="I58" s="128">
        <f t="shared" si="21"/>
        <v>0</v>
      </c>
      <c r="J58" s="128">
        <f t="shared" si="21"/>
        <v>0</v>
      </c>
      <c r="K58" s="128">
        <f t="shared" si="21"/>
        <v>0</v>
      </c>
      <c r="L58" s="128">
        <f t="shared" si="21"/>
        <v>0</v>
      </c>
      <c r="M58" s="128">
        <f t="shared" si="21"/>
        <v>0</v>
      </c>
      <c r="N58" s="128">
        <f t="shared" si="21"/>
        <v>0</v>
      </c>
      <c r="O58" s="129">
        <f>SUM(C58:N58)</f>
        <v>0</v>
      </c>
      <c r="Q58" s="122"/>
      <c r="R58" s="125"/>
      <c r="S58" s="125"/>
      <c r="T58" s="126"/>
    </row>
    <row r="59" spans="1:20" ht="17.25" customHeight="1">
      <c r="A59" s="112" t="s">
        <v>110</v>
      </c>
      <c r="B59" s="130">
        <f>SUM(B35:B39)</f>
        <v>0</v>
      </c>
      <c r="C59" s="130">
        <f>SUM(C35:C39)</f>
        <v>0</v>
      </c>
      <c r="D59" s="130">
        <f t="shared" ref="D59:N59" si="22">SUM(D35:D39)</f>
        <v>0</v>
      </c>
      <c r="E59" s="130">
        <f t="shared" si="22"/>
        <v>0</v>
      </c>
      <c r="F59" s="130">
        <f t="shared" si="22"/>
        <v>0</v>
      </c>
      <c r="G59" s="130">
        <f t="shared" si="22"/>
        <v>0</v>
      </c>
      <c r="H59" s="130">
        <f t="shared" si="22"/>
        <v>0</v>
      </c>
      <c r="I59" s="130">
        <f t="shared" si="22"/>
        <v>0</v>
      </c>
      <c r="J59" s="130">
        <f t="shared" si="22"/>
        <v>0</v>
      </c>
      <c r="K59" s="130">
        <f t="shared" si="22"/>
        <v>0</v>
      </c>
      <c r="L59" s="130">
        <f t="shared" si="22"/>
        <v>0</v>
      </c>
      <c r="M59" s="130">
        <f t="shared" si="22"/>
        <v>0</v>
      </c>
      <c r="N59" s="130">
        <f t="shared" si="22"/>
        <v>0</v>
      </c>
      <c r="O59" s="131">
        <f>SUM(C59:N59)</f>
        <v>0</v>
      </c>
      <c r="Q59" s="122"/>
      <c r="R59" s="125"/>
      <c r="S59" s="125"/>
      <c r="T59" s="126"/>
    </row>
    <row r="60" spans="1:20" ht="17.25" customHeight="1">
      <c r="A60" s="195"/>
      <c r="B60" s="195"/>
      <c r="C60" s="195"/>
      <c r="D60" s="195"/>
      <c r="E60" s="195"/>
      <c r="F60" s="195"/>
      <c r="G60" s="195"/>
      <c r="H60" s="195"/>
      <c r="I60" s="195"/>
      <c r="J60" s="195"/>
      <c r="K60" s="195"/>
      <c r="L60" s="195"/>
      <c r="M60" s="195"/>
      <c r="N60" s="195"/>
      <c r="O60" s="195"/>
      <c r="Q60" s="122"/>
      <c r="R60" s="125"/>
      <c r="S60" s="125"/>
      <c r="T60" s="126"/>
    </row>
    <row r="61" spans="1:20" ht="17.25" customHeight="1">
      <c r="A61" s="199" t="s">
        <v>113</v>
      </c>
      <c r="B61" s="195"/>
      <c r="C61" s="195"/>
      <c r="D61" s="195"/>
      <c r="E61" s="195"/>
      <c r="F61" s="195"/>
      <c r="G61" s="195"/>
      <c r="H61" s="195"/>
      <c r="I61" s="195"/>
      <c r="J61" s="195"/>
      <c r="K61" s="195"/>
      <c r="L61" s="195"/>
      <c r="M61" s="195"/>
      <c r="N61" s="195"/>
      <c r="O61" s="195"/>
      <c r="Q61" s="122"/>
      <c r="R61" s="125"/>
      <c r="S61" s="125"/>
      <c r="T61" s="126"/>
    </row>
    <row r="62" spans="1:20" ht="17.25" customHeight="1">
      <c r="A62" s="195"/>
      <c r="B62" s="195"/>
      <c r="C62" s="195"/>
      <c r="D62" s="195"/>
      <c r="E62" s="195"/>
      <c r="F62" s="195"/>
      <c r="G62" s="195"/>
      <c r="H62" s="195"/>
      <c r="I62" s="195"/>
      <c r="J62" s="195"/>
      <c r="K62" s="195"/>
      <c r="L62" s="195"/>
      <c r="M62" s="195"/>
      <c r="N62" s="195"/>
      <c r="O62" s="195"/>
      <c r="Q62" s="122"/>
      <c r="R62" s="125"/>
      <c r="S62" s="125"/>
      <c r="T62" s="126"/>
    </row>
    <row r="63" spans="1:20" ht="17.25" customHeight="1">
      <c r="A63" s="195"/>
      <c r="B63" s="195"/>
      <c r="C63" s="195"/>
      <c r="D63" s="195"/>
      <c r="E63" s="195"/>
      <c r="F63" s="195"/>
      <c r="G63" s="195"/>
      <c r="H63" s="195"/>
      <c r="I63" s="195"/>
      <c r="J63" s="195"/>
      <c r="K63" s="195"/>
      <c r="L63" s="195"/>
      <c r="M63" s="195"/>
      <c r="N63" s="195"/>
      <c r="O63" s="195"/>
      <c r="Q63" s="122"/>
      <c r="R63" s="125"/>
      <c r="S63" s="125"/>
      <c r="T63" s="126"/>
    </row>
    <row r="64" spans="1:20" ht="17.25" customHeight="1">
      <c r="A64" s="195"/>
      <c r="B64" s="195"/>
      <c r="C64" s="195"/>
      <c r="D64" s="195"/>
      <c r="E64" s="195"/>
      <c r="F64" s="195"/>
      <c r="G64" s="195"/>
      <c r="H64" s="195"/>
      <c r="I64" s="195"/>
      <c r="J64" s="195"/>
      <c r="K64" s="195"/>
      <c r="L64" s="195"/>
      <c r="M64" s="195"/>
      <c r="N64" s="195"/>
      <c r="O64" s="195"/>
      <c r="Q64" s="122"/>
      <c r="R64" s="125"/>
      <c r="S64" s="125"/>
      <c r="T64" s="126"/>
    </row>
    <row r="65" spans="1:20" ht="17.25" customHeight="1">
      <c r="A65" s="195"/>
      <c r="B65" s="195"/>
      <c r="C65" s="195"/>
      <c r="D65" s="195"/>
      <c r="E65" s="195"/>
      <c r="F65" s="195"/>
      <c r="G65" s="195"/>
      <c r="H65" s="195"/>
      <c r="I65" s="195"/>
      <c r="J65" s="195"/>
      <c r="K65" s="195"/>
      <c r="L65" s="195"/>
      <c r="M65" s="195"/>
      <c r="N65" s="195"/>
      <c r="O65" s="195"/>
      <c r="Q65" s="122"/>
      <c r="R65" s="125"/>
      <c r="S65" s="125"/>
      <c r="T65" s="126"/>
    </row>
    <row r="66" spans="1:20" ht="17.25" customHeight="1">
      <c r="A66" s="195"/>
      <c r="B66" s="195"/>
      <c r="C66" s="195"/>
      <c r="D66" s="195"/>
      <c r="E66" s="195"/>
      <c r="F66" s="195"/>
      <c r="G66" s="195"/>
      <c r="H66" s="195"/>
      <c r="I66" s="195"/>
      <c r="J66" s="195"/>
      <c r="K66" s="195"/>
      <c r="L66" s="195"/>
      <c r="M66" s="195"/>
      <c r="N66" s="195"/>
      <c r="O66" s="195"/>
      <c r="Q66" s="122"/>
      <c r="R66" s="125"/>
      <c r="S66" s="125"/>
      <c r="T66" s="126"/>
    </row>
    <row r="67" spans="1:20" ht="17.25" customHeight="1">
      <c r="A67" s="195"/>
      <c r="B67" s="195"/>
      <c r="C67" s="195"/>
      <c r="D67" s="195"/>
      <c r="E67" s="195"/>
      <c r="F67" s="195"/>
      <c r="G67" s="195"/>
      <c r="H67" s="195"/>
      <c r="I67" s="195"/>
      <c r="J67" s="195"/>
      <c r="K67" s="195"/>
      <c r="L67" s="195"/>
      <c r="M67" s="195"/>
      <c r="N67" s="195"/>
      <c r="O67" s="195"/>
      <c r="Q67" s="122"/>
      <c r="R67" s="125"/>
      <c r="S67" s="125"/>
      <c r="T67" s="126"/>
    </row>
    <row r="68" spans="1:20" ht="17.25" customHeight="1">
      <c r="A68" s="195"/>
      <c r="B68" s="195"/>
      <c r="C68" s="195"/>
      <c r="D68" s="195"/>
      <c r="E68" s="195"/>
      <c r="F68" s="195"/>
      <c r="G68" s="195"/>
      <c r="H68" s="195"/>
      <c r="I68" s="195"/>
      <c r="J68" s="195"/>
      <c r="K68" s="195"/>
      <c r="L68" s="195"/>
      <c r="M68" s="195"/>
      <c r="N68" s="195"/>
      <c r="O68" s="195"/>
      <c r="Q68" s="122"/>
      <c r="R68" s="125"/>
      <c r="S68" s="125"/>
      <c r="T68" s="126"/>
    </row>
    <row r="69" spans="1:20" ht="17.25" customHeight="1">
      <c r="A69" s="195"/>
      <c r="B69" s="195"/>
      <c r="C69" s="195"/>
      <c r="D69" s="195"/>
      <c r="E69" s="195"/>
      <c r="F69" s="195"/>
      <c r="G69" s="195"/>
      <c r="H69" s="195"/>
      <c r="I69" s="195"/>
      <c r="J69" s="195"/>
      <c r="K69" s="195"/>
      <c r="L69" s="195"/>
      <c r="M69" s="195"/>
      <c r="N69" s="195"/>
      <c r="O69" s="195"/>
      <c r="Q69" s="122"/>
      <c r="R69" s="125"/>
      <c r="S69" s="125"/>
      <c r="T69" s="126"/>
    </row>
    <row r="70" spans="1:20" ht="17.25" customHeight="1">
      <c r="A70" s="192"/>
      <c r="B70" s="192"/>
      <c r="C70" s="192"/>
      <c r="D70" s="192"/>
      <c r="E70" s="192"/>
      <c r="F70" s="192"/>
      <c r="G70" s="192"/>
      <c r="H70" s="192"/>
      <c r="I70" s="192"/>
      <c r="J70" s="192"/>
      <c r="K70" s="192"/>
      <c r="L70" s="192"/>
      <c r="M70" s="192"/>
      <c r="N70" s="192"/>
      <c r="O70" s="193"/>
    </row>
    <row r="71" spans="1:20" ht="17.25" customHeight="1"/>
    <row r="72" spans="1:20" ht="17.25" customHeight="1"/>
    <row r="73" spans="1:20" ht="18" customHeight="1"/>
    <row r="74" spans="1:20" ht="18" customHeight="1"/>
    <row r="75" spans="1:20" ht="26.1" customHeight="1"/>
    <row r="76" spans="1:20" ht="18" customHeight="1"/>
    <row r="77" spans="1:20" ht="18.75" customHeight="1"/>
    <row r="78" spans="1:20" ht="20.25" customHeight="1"/>
    <row r="79" spans="1:20" ht="35.25" customHeight="1"/>
    <row r="80" spans="1:20" ht="18" customHeight="1"/>
    <row r="81" ht="18" customHeight="1"/>
    <row r="82" ht="18" customHeight="1"/>
    <row r="83" ht="18" customHeight="1"/>
    <row r="84" ht="18" customHeight="1"/>
    <row r="85" ht="18" customHeight="1"/>
    <row r="86" ht="18" customHeight="1"/>
    <row r="87" ht="18" customHeight="1"/>
    <row r="88" ht="18" hidden="1" customHeight="1"/>
    <row r="89" ht="18" hidden="1" customHeight="1"/>
    <row r="90" ht="18" hidden="1" customHeight="1"/>
    <row r="91" ht="18" hidden="1" customHeight="1"/>
    <row r="92" ht="18" hidden="1" customHeight="1"/>
    <row r="93" ht="18" hidden="1" customHeight="1"/>
    <row r="94" ht="18" hidden="1" customHeight="1"/>
    <row r="95" ht="18" hidden="1" customHeight="1"/>
    <row r="96" ht="18" hidden="1" customHeight="1"/>
    <row r="97" ht="18" hidden="1" customHeight="1"/>
    <row r="98" ht="18" hidden="1" customHeight="1"/>
    <row r="99" ht="18" hidden="1" customHeight="1"/>
    <row r="100" ht="18" hidden="1" customHeight="1"/>
    <row r="101" ht="18" hidden="1" customHeight="1"/>
    <row r="102" ht="18" hidden="1" customHeight="1"/>
    <row r="103" ht="18" hidden="1" customHeight="1"/>
    <row r="104" ht="18" customHeight="1"/>
    <row r="105" ht="18" customHeight="1"/>
    <row r="106" ht="18" customHeight="1"/>
    <row r="107" ht="26.1" customHeight="1"/>
  </sheetData>
  <sheetProtection algorithmName="SHA-512" hashValue="kNehZswGBDHYTzrHix8sHij8/SQy7hHZckL3H3V1A/EYD4YwPX3S8Ypx75TN2n1RDcZMFfFx6qnZIfiCLPj+pA==" saltValue="YGartdTuMlP1LR2xUWyN4g==" spinCount="100000" sheet="1" objects="1" scenarios="1"/>
  <mergeCells count="3">
    <mergeCell ref="A33:O33"/>
    <mergeCell ref="A4:O4"/>
    <mergeCell ref="A1:D1"/>
  </mergeCells>
  <conditionalFormatting sqref="C60:N69">
    <cfRule type="containsText" dxfId="5" priority="15" operator="containsText" text="↑">
      <formula>NOT(ISERROR(SEARCH("↑",C60)))</formula>
    </cfRule>
    <cfRule type="containsText" dxfId="4" priority="16" operator="containsText" text="↓">
      <formula>NOT(ISERROR(SEARCH("↓",C60)))</formula>
    </cfRule>
  </conditionalFormatting>
  <conditionalFormatting sqref="A60:B60 A62:B69 B61">
    <cfRule type="containsText" dxfId="3" priority="3" operator="containsText" text="↑">
      <formula>NOT(ISERROR(SEARCH("↑",A60)))</formula>
    </cfRule>
    <cfRule type="containsText" dxfId="2" priority="4" operator="containsText" text="↓">
      <formula>NOT(ISERROR(SEARCH("↓",A60)))</formula>
    </cfRule>
  </conditionalFormatting>
  <conditionalFormatting sqref="O60:O69">
    <cfRule type="containsText" dxfId="1" priority="1" operator="containsText" text="↑">
      <formula>NOT(ISERROR(SEARCH("↑",O60)))</formula>
    </cfRule>
    <cfRule type="containsText" dxfId="0" priority="2" operator="containsText" text="↓">
      <formula>NOT(ISERROR(SEARCH("↓",O60)))</formula>
    </cfRule>
  </conditionalFormatting>
  <printOptions horizontalCentered="1"/>
  <pageMargins left="0.15748031496062992" right="0.19685039370078741" top="0.23622047244094491" bottom="0.62992125984251968" header="0.15748031496062992" footer="0.31496062992125984"/>
  <pageSetup paperSize="9" scale="44" orientation="landscape" r:id="rId1"/>
  <headerFooter alignWithMargins="0">
    <oddFooter>&amp;L&amp;8&amp;K01+000Cleanaway Confidential
&amp;F&amp;C&amp;8&amp;K01+000Page &amp;P of &amp;N&amp;R&amp;"Calibri,Regular"&amp;8&amp;K01+000&amp;A</oddFooter>
  </headerFooter>
  <ignoredErrors>
    <ignoredError sqref="C7:N9 C35:N35 D6:N6" unlockedFormula="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101B3-129E-41C7-B31B-ABFA6CBE0760}">
  <sheetPr codeName="Sheet8">
    <tabColor theme="2" tint="0.79998168889431442"/>
  </sheetPr>
  <dimension ref="A1:AA255"/>
  <sheetViews>
    <sheetView showGridLines="0" view="pageBreakPreview" topLeftCell="A90" zoomScale="90" zoomScaleNormal="80" zoomScaleSheetLayoutView="90" workbookViewId="0">
      <selection activeCell="B4" sqref="B4:C4"/>
    </sheetView>
  </sheetViews>
  <sheetFormatPr defaultColWidth="9.140625" defaultRowHeight="14.45"/>
  <cols>
    <col min="1" max="1" width="24.85546875" style="92" customWidth="1"/>
    <col min="2" max="3" width="13.28515625" style="92" customWidth="1"/>
    <col min="4" max="4" width="7.42578125" style="92" customWidth="1"/>
    <col min="5" max="27" width="9.140625" style="92"/>
    <col min="28" max="16384" width="9.140625" style="90"/>
  </cols>
  <sheetData>
    <row r="1" spans="1:27" ht="42" customHeight="1">
      <c r="A1" s="89" t="s">
        <v>114</v>
      </c>
      <c r="B1" s="89"/>
      <c r="C1" s="89"/>
      <c r="D1" s="89"/>
      <c r="E1" s="89"/>
      <c r="F1" s="89"/>
      <c r="G1" s="89"/>
      <c r="H1" s="89"/>
      <c r="I1" s="89"/>
      <c r="J1" s="89"/>
      <c r="K1" s="89"/>
      <c r="L1" s="89"/>
      <c r="M1" s="89"/>
      <c r="N1" s="89"/>
      <c r="O1" s="89"/>
      <c r="P1" s="89"/>
      <c r="Q1" s="89"/>
      <c r="R1" s="89"/>
      <c r="S1" s="89"/>
      <c r="T1" s="89"/>
      <c r="U1" s="89"/>
      <c r="V1" s="89"/>
      <c r="W1" s="89"/>
      <c r="X1" s="89"/>
      <c r="Y1" s="89"/>
      <c r="Z1" s="89"/>
      <c r="AA1" s="89"/>
    </row>
    <row r="2" spans="1:27" ht="21.75" customHeight="1">
      <c r="A2" s="106">
        <f>Calculations!B20</f>
        <v>44927</v>
      </c>
      <c r="B2" s="106"/>
      <c r="C2" s="106"/>
      <c r="D2" s="106"/>
    </row>
    <row r="4" spans="1:27">
      <c r="A4" s="91" t="s">
        <v>17</v>
      </c>
      <c r="B4" s="237">
        <v>44927</v>
      </c>
      <c r="C4" s="237"/>
    </row>
    <row r="5" spans="1:27">
      <c r="E5" s="135"/>
      <c r="F5" s="135"/>
      <c r="G5" s="135"/>
      <c r="H5" s="135"/>
      <c r="I5" s="135"/>
      <c r="J5" s="135"/>
      <c r="K5" s="135"/>
    </row>
    <row r="6" spans="1:27">
      <c r="A6" s="93" t="s">
        <v>115</v>
      </c>
      <c r="B6" s="93"/>
      <c r="C6" s="94">
        <f>B4</f>
        <v>44927</v>
      </c>
      <c r="E6" s="163"/>
      <c r="F6" s="163" t="str">
        <f>A6</f>
        <v>Current Year</v>
      </c>
      <c r="G6" s="163" t="str">
        <f>F6</f>
        <v>Current Year</v>
      </c>
      <c r="H6" s="163" t="e">
        <f>#REF!</f>
        <v>#REF!</v>
      </c>
      <c r="I6" s="163" t="e">
        <f>H6</f>
        <v>#REF!</v>
      </c>
      <c r="J6" s="135"/>
      <c r="K6" s="135"/>
    </row>
    <row r="7" spans="1:27">
      <c r="A7" s="93" t="s">
        <v>96</v>
      </c>
      <c r="B7" s="96" t="s">
        <v>29</v>
      </c>
      <c r="C7" s="96" t="s">
        <v>116</v>
      </c>
      <c r="E7" s="163"/>
      <c r="F7" s="163" t="str">
        <f>B7</f>
        <v>Spend</v>
      </c>
      <c r="G7" s="163" t="str">
        <f>C7</f>
        <v>Weight (t)</v>
      </c>
      <c r="H7" s="163" t="e">
        <f>#REF!</f>
        <v>#REF!</v>
      </c>
      <c r="I7" s="163" t="e">
        <f>#REF!</f>
        <v>#REF!</v>
      </c>
      <c r="J7" s="135"/>
      <c r="K7" s="135"/>
    </row>
    <row r="8" spans="1:27" ht="15" customHeight="1">
      <c r="A8" s="98" t="str">
        <f>'FYTD Tonnage vs Spend'!$A6</f>
        <v>General</v>
      </c>
      <c r="B8" s="198">
        <f>SUMIFS('Transaction Data'!$L:$L,'Transaction Data'!$A:$A,$B$4,'Transaction Data'!$E:$E,$A8)</f>
        <v>0</v>
      </c>
      <c r="C8" s="104">
        <f>SUMIFS('Transaction Data'!$K:$K,'Transaction Data'!$A:$A,$B$4,'Transaction Data'!$E:$E,$A8)/1000</f>
        <v>0</v>
      </c>
      <c r="E8" s="163"/>
      <c r="F8" s="164" t="e">
        <f t="shared" ref="F8:F35" si="0">IF(B8/$B$36&lt;=0,#N/A,B8/$B$36)</f>
        <v>#DIV/0!</v>
      </c>
      <c r="G8" s="164" t="e">
        <f t="shared" ref="G8:G35" si="1">IF(C8/$C$36&lt;=0,#N/A,C8/$C$36)</f>
        <v>#DIV/0!</v>
      </c>
      <c r="H8" s="164" t="e">
        <f>IF(#REF!/#REF!&lt;=0,#N/A,#REF!/#REF!)</f>
        <v>#REF!</v>
      </c>
      <c r="I8" s="164" t="e">
        <f>IF(#REF!/#REF!&lt;=0,#N/A,#REF!/#REF!)</f>
        <v>#REF!</v>
      </c>
      <c r="J8" s="135"/>
      <c r="K8" s="135"/>
    </row>
    <row r="9" spans="1:27" hidden="1">
      <c r="A9" s="98">
        <f>'FYTD Tonnage vs Spend'!$A7</f>
        <v>0</v>
      </c>
      <c r="B9" s="198">
        <f>SUMIFS('Transaction Data'!$L:$L,'Transaction Data'!$A:$A,$B$4,'Transaction Data'!$E:$E,$A9)</f>
        <v>0</v>
      </c>
      <c r="C9" s="104">
        <f>SUMIFS('Transaction Data'!$K:$K,'Transaction Data'!$A:$A,$B$4,'Transaction Data'!$E:$E,$A9)/1000</f>
        <v>0</v>
      </c>
      <c r="E9" s="163"/>
      <c r="F9" s="164" t="e">
        <f t="shared" si="0"/>
        <v>#DIV/0!</v>
      </c>
      <c r="G9" s="164" t="e">
        <f t="shared" si="1"/>
        <v>#DIV/0!</v>
      </c>
      <c r="H9" s="164" t="e">
        <f>IF(#REF!/#REF!&lt;=0,#N/A,#REF!/#REF!)</f>
        <v>#REF!</v>
      </c>
      <c r="I9" s="164" t="e">
        <f>IF(#REF!/#REF!&lt;=0,#N/A,#REF!/#REF!)</f>
        <v>#REF!</v>
      </c>
      <c r="J9" s="135"/>
      <c r="K9" s="135"/>
    </row>
    <row r="10" spans="1:27" hidden="1">
      <c r="A10" s="98">
        <f>'FYTD Tonnage vs Spend'!$A8</f>
        <v>0</v>
      </c>
      <c r="B10" s="198">
        <f>SUMIFS('Transaction Data'!$L:$L,'Transaction Data'!$A:$A,$B$4,'Transaction Data'!$E:$E,$A10)</f>
        <v>0</v>
      </c>
      <c r="C10" s="104">
        <f>SUMIFS('Transaction Data'!$K:$K,'Transaction Data'!$A:$A,$B$4,'Transaction Data'!$E:$E,$A10)/1000</f>
        <v>0</v>
      </c>
      <c r="E10" s="163"/>
      <c r="F10" s="164" t="e">
        <f t="shared" si="0"/>
        <v>#DIV/0!</v>
      </c>
      <c r="G10" s="164" t="e">
        <f t="shared" si="1"/>
        <v>#DIV/0!</v>
      </c>
      <c r="H10" s="164" t="e">
        <f>IF(#REF!/#REF!&lt;=0,#N/A,#REF!/#REF!)</f>
        <v>#REF!</v>
      </c>
      <c r="I10" s="164" t="e">
        <f>IF(#REF!/#REF!&lt;=0,#N/A,#REF!/#REF!)</f>
        <v>#REF!</v>
      </c>
      <c r="J10" s="135"/>
      <c r="K10" s="135"/>
    </row>
    <row r="11" spans="1:27" hidden="1">
      <c r="A11" s="98">
        <f>'FYTD Tonnage vs Spend'!$A9</f>
        <v>0</v>
      </c>
      <c r="B11" s="198">
        <f>SUMIFS('Transaction Data'!$L:$L,'Transaction Data'!$A:$A,$B$4,'Transaction Data'!$E:$E,$A11)</f>
        <v>0</v>
      </c>
      <c r="C11" s="104">
        <f>SUMIFS('Transaction Data'!$K:$K,'Transaction Data'!$A:$A,$B$4,'Transaction Data'!$E:$E,$A11)/1000</f>
        <v>0</v>
      </c>
      <c r="E11" s="163"/>
      <c r="F11" s="164" t="e">
        <f t="shared" si="0"/>
        <v>#DIV/0!</v>
      </c>
      <c r="G11" s="164" t="e">
        <f t="shared" si="1"/>
        <v>#DIV/0!</v>
      </c>
      <c r="H11" s="164" t="e">
        <f>IF(#REF!/#REF!&lt;=0,#N/A,#REF!/#REF!)</f>
        <v>#REF!</v>
      </c>
      <c r="I11" s="164" t="e">
        <f>IF(#REF!/#REF!&lt;=0,#N/A,#REF!/#REF!)</f>
        <v>#REF!</v>
      </c>
      <c r="J11" s="135"/>
      <c r="K11" s="135"/>
    </row>
    <row r="12" spans="1:27" hidden="1">
      <c r="A12" s="98">
        <f>'FYTD Tonnage vs Spend'!$A10</f>
        <v>0</v>
      </c>
      <c r="B12" s="198">
        <f>SUMIFS('Transaction Data'!$L:$L,'Transaction Data'!$A:$A,$B$4,'Transaction Data'!$E:$E,$A12)</f>
        <v>0</v>
      </c>
      <c r="C12" s="104">
        <f>SUMIFS('Transaction Data'!$K:$K,'Transaction Data'!$A:$A,$B$4,'Transaction Data'!$E:$E,$A12)/1000</f>
        <v>0</v>
      </c>
      <c r="E12" s="163"/>
      <c r="F12" s="164" t="e">
        <f t="shared" si="0"/>
        <v>#DIV/0!</v>
      </c>
      <c r="G12" s="164" t="e">
        <f t="shared" si="1"/>
        <v>#DIV/0!</v>
      </c>
      <c r="H12" s="164" t="e">
        <f>IF(#REF!/#REF!&lt;=0,#N/A,#REF!/#REF!)</f>
        <v>#REF!</v>
      </c>
      <c r="I12" s="164" t="e">
        <f>IF(#REF!/#REF!&lt;=0,#N/A,#REF!/#REF!)</f>
        <v>#REF!</v>
      </c>
      <c r="J12" s="135"/>
      <c r="K12" s="135"/>
    </row>
    <row r="13" spans="1:27">
      <c r="A13" s="98" t="str">
        <f>'FYTD Tonnage vs Spend'!$A11</f>
        <v>Recycle</v>
      </c>
      <c r="B13" s="198">
        <f>SUMIFS('Transaction Data'!$L:$L,'Transaction Data'!$A:$A,$B$4,'Transaction Data'!$E:$E,$A13)</f>
        <v>0</v>
      </c>
      <c r="C13" s="104">
        <f>SUMIFS('Transaction Data'!$K:$K,'Transaction Data'!$A:$A,$B$4,'Transaction Data'!$E:$E,$A13)/1000</f>
        <v>0</v>
      </c>
      <c r="E13" s="163"/>
      <c r="F13" s="164" t="e">
        <f t="shared" si="0"/>
        <v>#DIV/0!</v>
      </c>
      <c r="G13" s="164" t="e">
        <f t="shared" si="1"/>
        <v>#DIV/0!</v>
      </c>
      <c r="H13" s="164" t="e">
        <f>IF(#REF!/#REF!&lt;=0,#N/A,#REF!/#REF!)</f>
        <v>#REF!</v>
      </c>
      <c r="I13" s="164" t="e">
        <f>IF(#REF!/#REF!&lt;=0,#N/A,#REF!/#REF!)</f>
        <v>#REF!</v>
      </c>
      <c r="J13" s="135"/>
      <c r="K13" s="135"/>
    </row>
    <row r="14" spans="1:27">
      <c r="A14" s="98" t="str">
        <f>'FYTD Tonnage vs Spend'!$A12</f>
        <v>Confidential</v>
      </c>
      <c r="B14" s="198">
        <f>SUMIFS('Transaction Data'!$L:$L,'Transaction Data'!$A:$A,$B$4,'Transaction Data'!$E:$E,$A14)</f>
        <v>0</v>
      </c>
      <c r="C14" s="104">
        <f>SUMIFS('Transaction Data'!$K:$K,'Transaction Data'!$A:$A,$B$4,'Transaction Data'!$E:$E,$A14)/1000</f>
        <v>0</v>
      </c>
      <c r="E14" s="163"/>
      <c r="F14" s="164" t="e">
        <f t="shared" si="0"/>
        <v>#DIV/0!</v>
      </c>
      <c r="G14" s="164" t="e">
        <f t="shared" si="1"/>
        <v>#DIV/0!</v>
      </c>
      <c r="H14" s="164" t="e">
        <f>IF(#REF!/#REF!&lt;=0,#N/A,#REF!/#REF!)</f>
        <v>#REF!</v>
      </c>
      <c r="I14" s="164" t="e">
        <f>IF(#REF!/#REF!&lt;=0,#N/A,#REF!/#REF!)</f>
        <v>#REF!</v>
      </c>
      <c r="J14" s="135"/>
      <c r="K14" s="135"/>
    </row>
    <row r="15" spans="1:27">
      <c r="A15" s="98" t="str">
        <f>'FYTD Tonnage vs Spend'!$A13</f>
        <v>Commingle</v>
      </c>
      <c r="B15" s="198">
        <f>SUMIFS('Transaction Data'!$L:$L,'Transaction Data'!$A:$A,$B$4,'Transaction Data'!$E:$E,$A15)</f>
        <v>0</v>
      </c>
      <c r="C15" s="104">
        <f>SUMIFS('Transaction Data'!$K:$K,'Transaction Data'!$A:$A,$B$4,'Transaction Data'!$E:$E,$A15)/1000</f>
        <v>0</v>
      </c>
      <c r="E15" s="163"/>
      <c r="F15" s="164" t="e">
        <f t="shared" si="0"/>
        <v>#DIV/0!</v>
      </c>
      <c r="G15" s="164" t="e">
        <f t="shared" si="1"/>
        <v>#DIV/0!</v>
      </c>
      <c r="H15" s="164" t="e">
        <f>IF(#REF!/#REF!&lt;=0,#N/A,#REF!/#REF!)</f>
        <v>#REF!</v>
      </c>
      <c r="I15" s="164" t="e">
        <f>IF(#REF!/#REF!&lt;=0,#N/A,#REF!/#REF!)</f>
        <v>#REF!</v>
      </c>
      <c r="J15" s="135"/>
      <c r="K15" s="135"/>
    </row>
    <row r="16" spans="1:27">
      <c r="A16" s="98" t="str">
        <f>'FYTD Tonnage vs Spend'!$A14</f>
        <v>Timber</v>
      </c>
      <c r="B16" s="198">
        <f>SUMIFS('Transaction Data'!$L:$L,'Transaction Data'!$A:$A,$B$4,'Transaction Data'!$E:$E,$A16)</f>
        <v>0</v>
      </c>
      <c r="C16" s="104">
        <f>SUMIFS('Transaction Data'!$K:$K,'Transaction Data'!$A:$A,$B$4,'Transaction Data'!$E:$E,$A16)/1000</f>
        <v>0</v>
      </c>
      <c r="E16" s="163"/>
      <c r="F16" s="164" t="e">
        <f t="shared" si="0"/>
        <v>#DIV/0!</v>
      </c>
      <c r="G16" s="164" t="e">
        <f t="shared" si="1"/>
        <v>#DIV/0!</v>
      </c>
      <c r="H16" s="164" t="e">
        <f>IF(#REF!/#REF!&lt;=0,#N/A,#REF!/#REF!)</f>
        <v>#REF!</v>
      </c>
      <c r="I16" s="164" t="e">
        <f>IF(#REF!/#REF!&lt;=0,#N/A,#REF!/#REF!)</f>
        <v>#REF!</v>
      </c>
      <c r="J16" s="135"/>
      <c r="K16" s="135"/>
    </row>
    <row r="17" spans="1:11" hidden="1">
      <c r="A17" s="98" t="str">
        <f>'FYTD Tonnage vs Spend'!$A15</f>
        <v>Liquids</v>
      </c>
      <c r="B17" s="198">
        <f>SUMIFS('Transaction Data'!$L:$L,'Transaction Data'!$A:$A,$B$4,'Transaction Data'!$E:$E,$A17)</f>
        <v>0</v>
      </c>
      <c r="C17" s="104">
        <f>SUMIFS('Transaction Data'!$K:$K,'Transaction Data'!$A:$A,$B$4,'Transaction Data'!$E:$E,$A17)/1000</f>
        <v>0</v>
      </c>
      <c r="E17" s="163"/>
      <c r="F17" s="164" t="e">
        <f t="shared" si="0"/>
        <v>#DIV/0!</v>
      </c>
      <c r="G17" s="164" t="e">
        <f t="shared" si="1"/>
        <v>#DIV/0!</v>
      </c>
      <c r="H17" s="164" t="e">
        <f>IF(#REF!/#REF!&lt;=0,#N/A,#REF!/#REF!)</f>
        <v>#REF!</v>
      </c>
      <c r="I17" s="164" t="e">
        <f>IF(#REF!/#REF!&lt;=0,#N/A,#REF!/#REF!)</f>
        <v>#REF!</v>
      </c>
      <c r="J17" s="135"/>
      <c r="K17" s="135"/>
    </row>
    <row r="18" spans="1:11" hidden="1">
      <c r="A18" s="98" t="str">
        <f>'FYTD Tonnage vs Spend'!$A16</f>
        <v>Glass</v>
      </c>
      <c r="B18" s="198">
        <f>SUMIFS('Transaction Data'!$L:$L,'Transaction Data'!$A:$A,$B$4,'Transaction Data'!$E:$E,$A18)</f>
        <v>0</v>
      </c>
      <c r="C18" s="104">
        <f>SUMIFS('Transaction Data'!$K:$K,'Transaction Data'!$A:$A,$B$4,'Transaction Data'!$E:$E,$A18)/1000</f>
        <v>0</v>
      </c>
      <c r="E18" s="163"/>
      <c r="F18" s="164" t="e">
        <f t="shared" si="0"/>
        <v>#DIV/0!</v>
      </c>
      <c r="G18" s="164" t="e">
        <f t="shared" si="1"/>
        <v>#DIV/0!</v>
      </c>
      <c r="H18" s="164" t="e">
        <f>IF(#REF!/#REF!&lt;=0,#N/A,#REF!/#REF!)</f>
        <v>#REF!</v>
      </c>
      <c r="I18" s="164" t="e">
        <f>IF(#REF!/#REF!&lt;=0,#N/A,#REF!/#REF!)</f>
        <v>#REF!</v>
      </c>
      <c r="J18" s="135"/>
      <c r="K18" s="135"/>
    </row>
    <row r="19" spans="1:11" hidden="1">
      <c r="A19" s="98" t="str">
        <f>'FYTD Tonnage vs Spend'!$A17</f>
        <v>Gun Washer</v>
      </c>
      <c r="B19" s="198">
        <f>SUMIFS('Transaction Data'!$L:$L,'Transaction Data'!$A:$A,$B$4,'Transaction Data'!$E:$E,$A19)</f>
        <v>0</v>
      </c>
      <c r="C19" s="104">
        <f>SUMIFS('Transaction Data'!$K:$K,'Transaction Data'!$A:$A,$B$4,'Transaction Data'!$E:$E,$A19)/1000</f>
        <v>0</v>
      </c>
      <c r="E19" s="163"/>
      <c r="F19" s="164" t="e">
        <f t="shared" si="0"/>
        <v>#DIV/0!</v>
      </c>
      <c r="G19" s="164" t="e">
        <f t="shared" si="1"/>
        <v>#DIV/0!</v>
      </c>
      <c r="H19" s="164" t="e">
        <f>IF(#REF!/#REF!&lt;=0,#N/A,#REF!/#REF!)</f>
        <v>#REF!</v>
      </c>
      <c r="I19" s="164" t="e">
        <f>IF(#REF!/#REF!&lt;=0,#N/A,#REF!/#REF!)</f>
        <v>#REF!</v>
      </c>
      <c r="J19" s="135"/>
      <c r="K19" s="135"/>
    </row>
    <row r="20" spans="1:11" hidden="1">
      <c r="A20" s="98" t="str">
        <f>'FYTD Tonnage vs Spend'!$A18</f>
        <v>Paper</v>
      </c>
      <c r="B20" s="198">
        <f>SUMIFS('Transaction Data'!$L:$L,'Transaction Data'!$A:$A,$B$4,'Transaction Data'!$E:$E,$A20)</f>
        <v>0</v>
      </c>
      <c r="C20" s="104">
        <f>SUMIFS('Transaction Data'!$K:$K,'Transaction Data'!$A:$A,$B$4,'Transaction Data'!$E:$E,$A20)/1000</f>
        <v>0</v>
      </c>
      <c r="E20" s="163"/>
      <c r="F20" s="164" t="e">
        <f t="shared" si="0"/>
        <v>#DIV/0!</v>
      </c>
      <c r="G20" s="164" t="e">
        <f t="shared" si="1"/>
        <v>#DIV/0!</v>
      </c>
      <c r="H20" s="164" t="e">
        <f>IF(#REF!/#REF!&lt;=0,#N/A,#REF!/#REF!)</f>
        <v>#REF!</v>
      </c>
      <c r="I20" s="164" t="e">
        <f>IF(#REF!/#REF!&lt;=0,#N/A,#REF!/#REF!)</f>
        <v>#REF!</v>
      </c>
      <c r="J20" s="135"/>
      <c r="K20" s="135"/>
    </row>
    <row r="21" spans="1:11">
      <c r="A21" s="98" t="str">
        <f>'FYTD Tonnage vs Spend'!$A19</f>
        <v>Fee's/Charges</v>
      </c>
      <c r="B21" s="198">
        <f>SUMIFS('Transaction Data'!$L:$L,'Transaction Data'!$A:$A,$B$4,'Transaction Data'!$E:$E,$A21)</f>
        <v>0</v>
      </c>
      <c r="C21" s="104">
        <f>SUMIFS('Transaction Data'!$K:$K,'Transaction Data'!$A:$A,$B$4,'Transaction Data'!$E:$E,$A21)/1000</f>
        <v>0</v>
      </c>
      <c r="E21" s="163"/>
      <c r="F21" s="164" t="e">
        <f t="shared" si="0"/>
        <v>#DIV/0!</v>
      </c>
      <c r="G21" s="164" t="e">
        <f t="shared" si="1"/>
        <v>#DIV/0!</v>
      </c>
      <c r="H21" s="164" t="e">
        <f>IF(#REF!/#REF!&lt;=0,#N/A,#REF!/#REF!)</f>
        <v>#REF!</v>
      </c>
      <c r="I21" s="164" t="e">
        <f>IF(#REF!/#REF!&lt;=0,#N/A,#REF!/#REF!)</f>
        <v>#REF!</v>
      </c>
      <c r="J21" s="135"/>
      <c r="K21" s="135"/>
    </row>
    <row r="22" spans="1:11" hidden="1">
      <c r="A22" s="98">
        <f>'FYTD Tonnage vs Spend'!$A20</f>
        <v>0</v>
      </c>
      <c r="B22" s="198">
        <f>SUMIFS('Transaction Data'!$L:$L,'Transaction Data'!$A:$A,$B$4,'Transaction Data'!$E:$E,$A22)</f>
        <v>0</v>
      </c>
      <c r="C22" s="104">
        <f>SUMIFS('Transaction Data'!$K:$K,'Transaction Data'!$A:$A,$B$4,'Transaction Data'!$E:$E,$A22)/1000</f>
        <v>0</v>
      </c>
      <c r="E22" s="163"/>
      <c r="F22" s="164" t="e">
        <f t="shared" si="0"/>
        <v>#DIV/0!</v>
      </c>
      <c r="G22" s="164" t="e">
        <f t="shared" si="1"/>
        <v>#DIV/0!</v>
      </c>
      <c r="H22" s="164" t="e">
        <f>IF(#REF!/#REF!&lt;=0,#N/A,#REF!/#REF!)</f>
        <v>#REF!</v>
      </c>
      <c r="I22" s="164" t="e">
        <f>IF(#REF!/#REF!&lt;=0,#N/A,#REF!/#REF!)</f>
        <v>#REF!</v>
      </c>
      <c r="J22" s="135"/>
      <c r="K22" s="135"/>
    </row>
    <row r="23" spans="1:11" hidden="1">
      <c r="A23" s="98"/>
      <c r="B23" s="198">
        <f>SUMIFS('Transaction Data'!$L:$L,'Transaction Data'!$A:$A,$B$4,'Transaction Data'!$E:$E,$A23)</f>
        <v>0</v>
      </c>
      <c r="C23" s="104">
        <f>SUMIFS('Transaction Data'!$K:$K,'Transaction Data'!$A:$A,$B$4,'Transaction Data'!$E:$E,$A23)/1000</f>
        <v>0</v>
      </c>
      <c r="E23" s="163"/>
      <c r="F23" s="164" t="e">
        <f t="shared" si="0"/>
        <v>#DIV/0!</v>
      </c>
      <c r="G23" s="164" t="e">
        <f t="shared" si="1"/>
        <v>#DIV/0!</v>
      </c>
      <c r="H23" s="164" t="e">
        <f>IF(#REF!/#REF!&lt;=0,#N/A,#REF!/#REF!)</f>
        <v>#REF!</v>
      </c>
      <c r="I23" s="164" t="e">
        <f>IF(#REF!/#REF!&lt;=0,#N/A,#REF!/#REF!)</f>
        <v>#REF!</v>
      </c>
      <c r="J23" s="135"/>
      <c r="K23" s="135"/>
    </row>
    <row r="24" spans="1:11" hidden="1">
      <c r="A24" s="98"/>
      <c r="B24" s="198">
        <f>SUMIFS('Transaction Data'!$L:$L,'Transaction Data'!$A:$A,$B$4,'Transaction Data'!$E:$E,$A24)</f>
        <v>0</v>
      </c>
      <c r="C24" s="104">
        <f>SUMIFS('Transaction Data'!$K:$K,'Transaction Data'!$A:$A,$B$4,'Transaction Data'!$E:$E,$A24)/1000</f>
        <v>0</v>
      </c>
      <c r="E24" s="163"/>
      <c r="F24" s="164" t="e">
        <f t="shared" si="0"/>
        <v>#DIV/0!</v>
      </c>
      <c r="G24" s="164" t="e">
        <f t="shared" si="1"/>
        <v>#DIV/0!</v>
      </c>
      <c r="H24" s="164" t="e">
        <f>IF(#REF!/#REF!&lt;=0,#N/A,#REF!/#REF!)</f>
        <v>#REF!</v>
      </c>
      <c r="I24" s="164" t="e">
        <f>IF(#REF!/#REF!&lt;=0,#N/A,#REF!/#REF!)</f>
        <v>#REF!</v>
      </c>
      <c r="J24" s="135"/>
      <c r="K24" s="135"/>
    </row>
    <row r="25" spans="1:11" hidden="1">
      <c r="A25" s="98"/>
      <c r="B25" s="198">
        <f>SUMIFS('Transaction Data'!$L:$L,'Transaction Data'!$A:$A,$B$4,'Transaction Data'!$E:$E,$A25)</f>
        <v>0</v>
      </c>
      <c r="C25" s="104">
        <f>SUMIFS('Transaction Data'!$K:$K,'Transaction Data'!$A:$A,$B$4,'Transaction Data'!$E:$E,$A25)/1000</f>
        <v>0</v>
      </c>
      <c r="E25" s="135"/>
      <c r="F25" s="136" t="e">
        <f t="shared" si="0"/>
        <v>#DIV/0!</v>
      </c>
      <c r="G25" s="136" t="e">
        <f t="shared" si="1"/>
        <v>#DIV/0!</v>
      </c>
      <c r="H25" s="136" t="e">
        <f>IF(#REF!/#REF!&lt;=0,#N/A,#REF!/#REF!)</f>
        <v>#REF!</v>
      </c>
      <c r="I25" s="136" t="e">
        <f>IF(#REF!/#REF!&lt;=0,#N/A,#REF!/#REF!)</f>
        <v>#REF!</v>
      </c>
      <c r="J25" s="135"/>
      <c r="K25" s="135"/>
    </row>
    <row r="26" spans="1:11" hidden="1">
      <c r="A26" s="98"/>
      <c r="B26" s="198">
        <f>SUMIFS('Transaction Data'!$L:$L,'Transaction Data'!$A:$A,$B$4,'Transaction Data'!$E:$E,$A26)</f>
        <v>0</v>
      </c>
      <c r="C26" s="104">
        <f>SUMIFS('Transaction Data'!$K:$K,'Transaction Data'!$A:$A,$B$4,'Transaction Data'!$E:$E,$A26)/1000</f>
        <v>0</v>
      </c>
      <c r="E26" s="135"/>
      <c r="F26" s="136" t="e">
        <f t="shared" si="0"/>
        <v>#DIV/0!</v>
      </c>
      <c r="G26" s="136" t="e">
        <f t="shared" si="1"/>
        <v>#DIV/0!</v>
      </c>
      <c r="H26" s="136" t="e">
        <f>IF(#REF!/#REF!&lt;=0,#N/A,#REF!/#REF!)</f>
        <v>#REF!</v>
      </c>
      <c r="I26" s="136" t="e">
        <f>IF(#REF!/#REF!&lt;=0,#N/A,#REF!/#REF!)</f>
        <v>#REF!</v>
      </c>
      <c r="J26" s="135"/>
      <c r="K26" s="135"/>
    </row>
    <row r="27" spans="1:11" hidden="1">
      <c r="A27" s="98"/>
      <c r="B27" s="198">
        <f>SUMIFS('Transaction Data'!$L:$L,'Transaction Data'!$A:$A,$B$4,'Transaction Data'!$E:$E,$A27)</f>
        <v>0</v>
      </c>
      <c r="C27" s="104">
        <f>SUMIFS('Transaction Data'!$K:$K,'Transaction Data'!$A:$A,$B$4,'Transaction Data'!$E:$E,$A27)/1000</f>
        <v>0</v>
      </c>
      <c r="E27" s="135"/>
      <c r="F27" s="136" t="e">
        <f t="shared" si="0"/>
        <v>#DIV/0!</v>
      </c>
      <c r="G27" s="136" t="e">
        <f t="shared" si="1"/>
        <v>#DIV/0!</v>
      </c>
      <c r="H27" s="136" t="e">
        <f>IF(#REF!/#REF!&lt;=0,#N/A,#REF!/#REF!)</f>
        <v>#REF!</v>
      </c>
      <c r="I27" s="136" t="e">
        <f>IF(#REF!/#REF!&lt;=0,#N/A,#REF!/#REF!)</f>
        <v>#REF!</v>
      </c>
      <c r="J27" s="135"/>
      <c r="K27" s="135"/>
    </row>
    <row r="28" spans="1:11" hidden="1">
      <c r="A28" s="98"/>
      <c r="B28" s="198">
        <f>SUMIFS('Transaction Data'!$L:$L,'Transaction Data'!$A:$A,$B$4,'Transaction Data'!$E:$E,$A28)</f>
        <v>0</v>
      </c>
      <c r="C28" s="104">
        <f>SUMIFS('Transaction Data'!$K:$K,'Transaction Data'!$A:$A,$B$4,'Transaction Data'!$E:$E,$A28)/1000</f>
        <v>0</v>
      </c>
      <c r="E28" s="135"/>
      <c r="F28" s="136" t="e">
        <f t="shared" si="0"/>
        <v>#DIV/0!</v>
      </c>
      <c r="G28" s="136" t="e">
        <f t="shared" si="1"/>
        <v>#DIV/0!</v>
      </c>
      <c r="H28" s="136" t="e">
        <f>IF(#REF!/#REF!&lt;=0,#N/A,#REF!/#REF!)</f>
        <v>#REF!</v>
      </c>
      <c r="I28" s="136" t="e">
        <f>IF(#REF!/#REF!&lt;=0,#N/A,#REF!/#REF!)</f>
        <v>#REF!</v>
      </c>
      <c r="J28" s="135"/>
      <c r="K28" s="135"/>
    </row>
    <row r="29" spans="1:11" hidden="1">
      <c r="A29" s="98"/>
      <c r="B29" s="198">
        <f>SUMIFS('Transaction Data'!$L:$L,'Transaction Data'!$A:$A,$B$4,'Transaction Data'!$E:$E,$A29)</f>
        <v>0</v>
      </c>
      <c r="C29" s="104">
        <f>SUMIFS('Transaction Data'!$K:$K,'Transaction Data'!$A:$A,$B$4,'Transaction Data'!$E:$E,$A29)/1000</f>
        <v>0</v>
      </c>
      <c r="E29" s="135"/>
      <c r="F29" s="136" t="e">
        <f t="shared" si="0"/>
        <v>#DIV/0!</v>
      </c>
      <c r="G29" s="136" t="e">
        <f t="shared" si="1"/>
        <v>#DIV/0!</v>
      </c>
      <c r="H29" s="136" t="e">
        <f>IF(#REF!/#REF!&lt;=0,#N/A,#REF!/#REF!)</f>
        <v>#REF!</v>
      </c>
      <c r="I29" s="136" t="e">
        <f>IF(#REF!/#REF!&lt;=0,#N/A,#REF!/#REF!)</f>
        <v>#REF!</v>
      </c>
      <c r="J29" s="135"/>
      <c r="K29" s="135"/>
    </row>
    <row r="30" spans="1:11" hidden="1">
      <c r="A30" s="98"/>
      <c r="B30" s="198">
        <f>SUMIFS('Transaction Data'!$L:$L,'Transaction Data'!$A:$A,$B$4,'Transaction Data'!$E:$E,$A30)</f>
        <v>0</v>
      </c>
      <c r="C30" s="104">
        <f>SUMIFS('Transaction Data'!$K:$K,'Transaction Data'!$A:$A,$B$4,'Transaction Data'!$E:$E,$A30)/1000</f>
        <v>0</v>
      </c>
      <c r="E30" s="135"/>
      <c r="F30" s="136" t="e">
        <f t="shared" si="0"/>
        <v>#DIV/0!</v>
      </c>
      <c r="G30" s="136" t="e">
        <f t="shared" si="1"/>
        <v>#DIV/0!</v>
      </c>
      <c r="H30" s="136" t="e">
        <f>IF(#REF!/#REF!&lt;=0,#N/A,#REF!/#REF!)</f>
        <v>#REF!</v>
      </c>
      <c r="I30" s="136" t="e">
        <f>IF(#REF!/#REF!&lt;=0,#N/A,#REF!/#REF!)</f>
        <v>#REF!</v>
      </c>
      <c r="J30" s="135"/>
      <c r="K30" s="135"/>
    </row>
    <row r="31" spans="1:11" hidden="1">
      <c r="A31" s="98"/>
      <c r="B31" s="198">
        <f>SUMIFS('Transaction Data'!$L:$L,'Transaction Data'!$A:$A,$B$4,'Transaction Data'!$E:$E,$A31)</f>
        <v>0</v>
      </c>
      <c r="C31" s="104">
        <f>SUMIFS('Transaction Data'!$K:$K,'Transaction Data'!$A:$A,$B$4,'Transaction Data'!$E:$E,$A31)/1000</f>
        <v>0</v>
      </c>
      <c r="E31" s="135"/>
      <c r="F31" s="136" t="e">
        <f t="shared" si="0"/>
        <v>#DIV/0!</v>
      </c>
      <c r="G31" s="136" t="e">
        <f t="shared" si="1"/>
        <v>#DIV/0!</v>
      </c>
      <c r="H31" s="136" t="e">
        <f>IF(#REF!/#REF!&lt;=0,#N/A,#REF!/#REF!)</f>
        <v>#REF!</v>
      </c>
      <c r="I31" s="136" t="e">
        <f>IF(#REF!/#REF!&lt;=0,#N/A,#REF!/#REF!)</f>
        <v>#REF!</v>
      </c>
      <c r="J31" s="135"/>
      <c r="K31" s="135"/>
    </row>
    <row r="32" spans="1:11" hidden="1">
      <c r="A32" s="98"/>
      <c r="B32" s="198">
        <f>SUMIFS('Transaction Data'!$L:$L,'Transaction Data'!$A:$A,$B$4,'Transaction Data'!$E:$E,$A32)</f>
        <v>0</v>
      </c>
      <c r="C32" s="104">
        <f>SUMIFS('Transaction Data'!$K:$K,'Transaction Data'!$A:$A,$B$4,'Transaction Data'!$E:$E,$A32)/1000</f>
        <v>0</v>
      </c>
      <c r="E32" s="135"/>
      <c r="F32" s="136" t="e">
        <f t="shared" si="0"/>
        <v>#DIV/0!</v>
      </c>
      <c r="G32" s="136" t="e">
        <f t="shared" si="1"/>
        <v>#DIV/0!</v>
      </c>
      <c r="H32" s="136" t="e">
        <f>IF(#REF!/#REF!&lt;=0,#N/A,#REF!/#REF!)</f>
        <v>#REF!</v>
      </c>
      <c r="I32" s="136" t="e">
        <f>IF(#REF!/#REF!&lt;=0,#N/A,#REF!/#REF!)</f>
        <v>#REF!</v>
      </c>
      <c r="J32" s="135"/>
      <c r="K32" s="135"/>
    </row>
    <row r="33" spans="1:11" hidden="1">
      <c r="A33" s="98"/>
      <c r="B33" s="198">
        <f>SUMIFS('Transaction Data'!$L:$L,'Transaction Data'!$A:$A,$B$4,'Transaction Data'!$E:$E,$A33)</f>
        <v>0</v>
      </c>
      <c r="C33" s="104">
        <f>SUMIFS('Transaction Data'!$K:$K,'Transaction Data'!$A:$A,$B$4,'Transaction Data'!$E:$E,$A33)/1000</f>
        <v>0</v>
      </c>
      <c r="E33" s="135"/>
      <c r="F33" s="136" t="e">
        <f t="shared" si="0"/>
        <v>#DIV/0!</v>
      </c>
      <c r="G33" s="136" t="e">
        <f t="shared" si="1"/>
        <v>#DIV/0!</v>
      </c>
      <c r="H33" s="136" t="e">
        <f>IF(#REF!/#REF!&lt;=0,#N/A,#REF!/#REF!)</f>
        <v>#REF!</v>
      </c>
      <c r="I33" s="136" t="e">
        <f>IF(#REF!/#REF!&lt;=0,#N/A,#REF!/#REF!)</f>
        <v>#REF!</v>
      </c>
      <c r="J33" s="135"/>
      <c r="K33" s="135"/>
    </row>
    <row r="34" spans="1:11" hidden="1">
      <c r="A34" s="98"/>
      <c r="B34" s="198">
        <f>SUMIFS('Transaction Data'!$L:$L,'Transaction Data'!$A:$A,$B$4,'Transaction Data'!$E:$E,$A34)</f>
        <v>0</v>
      </c>
      <c r="C34" s="104">
        <f>SUMIFS('Transaction Data'!$K:$K,'Transaction Data'!$A:$A,$B$4,'Transaction Data'!$E:$E,$A34)/1000</f>
        <v>0</v>
      </c>
      <c r="E34" s="135"/>
      <c r="F34" s="136" t="e">
        <f t="shared" si="0"/>
        <v>#DIV/0!</v>
      </c>
      <c r="G34" s="136" t="e">
        <f t="shared" si="1"/>
        <v>#DIV/0!</v>
      </c>
      <c r="H34" s="136" t="e">
        <f>IF(#REF!/#REF!&lt;=0,#N/A,#REF!/#REF!)</f>
        <v>#REF!</v>
      </c>
      <c r="I34" s="136" t="e">
        <f>IF(#REF!/#REF!&lt;=0,#N/A,#REF!/#REF!)</f>
        <v>#REF!</v>
      </c>
      <c r="J34" s="135"/>
      <c r="K34" s="135"/>
    </row>
    <row r="35" spans="1:11" hidden="1">
      <c r="A35" s="98"/>
      <c r="B35" s="198">
        <f>SUMIFS('Transaction Data'!$L:$L,'Transaction Data'!$A:$A,$B$4,'Transaction Data'!$E:$E,$A35)</f>
        <v>0</v>
      </c>
      <c r="C35" s="104">
        <f>SUMIFS('Transaction Data'!$K:$K,'Transaction Data'!$A:$A,$B$4,'Transaction Data'!$E:$E,$A35)/1000</f>
        <v>0</v>
      </c>
      <c r="E35" s="135"/>
      <c r="F35" s="136" t="e">
        <f t="shared" si="0"/>
        <v>#DIV/0!</v>
      </c>
      <c r="G35" s="136" t="e">
        <f t="shared" si="1"/>
        <v>#DIV/0!</v>
      </c>
      <c r="H35" s="136" t="e">
        <f>IF(#REF!/#REF!&lt;=0,#N/A,#REF!/#REF!)</f>
        <v>#REF!</v>
      </c>
      <c r="I35" s="136" t="e">
        <f>IF(#REF!/#REF!&lt;=0,#N/A,#REF!/#REF!)</f>
        <v>#REF!</v>
      </c>
      <c r="J35" s="135"/>
      <c r="K35" s="135"/>
    </row>
    <row r="36" spans="1:11">
      <c r="A36" s="99" t="s">
        <v>108</v>
      </c>
      <c r="B36" s="133">
        <f>SUM(B8:B35)</f>
        <v>0</v>
      </c>
      <c r="C36" s="100">
        <f>SUM(C8:C35)</f>
        <v>0</v>
      </c>
      <c r="E36" s="135"/>
      <c r="F36" s="135"/>
      <c r="G36" s="135"/>
      <c r="H36" s="135"/>
      <c r="I36" s="135"/>
      <c r="J36" s="135"/>
      <c r="K36" s="135"/>
    </row>
    <row r="37" spans="1:11">
      <c r="E37" s="135"/>
      <c r="F37" s="135"/>
      <c r="G37" s="135"/>
      <c r="H37" s="135"/>
      <c r="I37" s="135"/>
      <c r="J37" s="135"/>
      <c r="K37" s="135"/>
    </row>
    <row r="38" spans="1:11">
      <c r="E38" s="135"/>
      <c r="F38" s="135"/>
      <c r="G38" s="135"/>
      <c r="H38" s="135"/>
      <c r="I38" s="135"/>
      <c r="J38" s="135"/>
      <c r="K38" s="135"/>
    </row>
    <row r="39" spans="1:11">
      <c r="E39" s="135"/>
      <c r="F39" s="135"/>
      <c r="G39" s="135"/>
      <c r="H39" s="135"/>
      <c r="I39" s="135"/>
      <c r="J39" s="135"/>
      <c r="K39" s="135"/>
    </row>
    <row r="40" spans="1:11">
      <c r="E40" s="135"/>
      <c r="F40" s="135"/>
      <c r="G40" s="135"/>
      <c r="H40" s="135"/>
      <c r="I40" s="135"/>
      <c r="J40" s="135"/>
      <c r="K40" s="135"/>
    </row>
    <row r="41" spans="1:11">
      <c r="E41" s="135"/>
      <c r="F41" s="135"/>
      <c r="G41" s="135"/>
      <c r="H41" s="135"/>
      <c r="I41" s="135"/>
      <c r="J41" s="135"/>
      <c r="K41" s="135"/>
    </row>
    <row r="42" spans="1:11">
      <c r="E42" s="135"/>
      <c r="F42" s="135"/>
      <c r="G42" s="135"/>
      <c r="H42" s="135"/>
      <c r="I42" s="135"/>
      <c r="J42" s="135"/>
      <c r="K42" s="135"/>
    </row>
    <row r="43" spans="1:11">
      <c r="A43" s="197"/>
      <c r="B43" s="196"/>
      <c r="E43" s="135"/>
      <c r="F43" s="135"/>
      <c r="G43" s="135"/>
      <c r="H43" s="135"/>
      <c r="I43" s="135"/>
      <c r="J43" s="135"/>
      <c r="K43" s="135"/>
    </row>
    <row r="44" spans="1:11">
      <c r="A44" s="197"/>
      <c r="B44" s="196"/>
      <c r="E44" s="135"/>
      <c r="F44" s="135"/>
      <c r="G44" s="135"/>
      <c r="H44" s="135"/>
      <c r="I44" s="135"/>
      <c r="J44" s="135"/>
      <c r="K44" s="135"/>
    </row>
    <row r="45" spans="1:11">
      <c r="A45" s="197"/>
      <c r="B45" s="196"/>
      <c r="E45" s="135"/>
      <c r="F45" s="135"/>
      <c r="G45" s="135"/>
      <c r="H45" s="135"/>
      <c r="I45" s="135"/>
      <c r="J45" s="135"/>
      <c r="K45" s="135"/>
    </row>
    <row r="46" spans="1:11">
      <c r="E46" s="135"/>
      <c r="F46" s="135"/>
      <c r="G46" s="135"/>
      <c r="H46" s="135"/>
      <c r="I46" s="135"/>
      <c r="J46" s="135"/>
      <c r="K46" s="135"/>
    </row>
    <row r="47" spans="1:11">
      <c r="E47" s="135"/>
      <c r="F47" s="135"/>
      <c r="G47" s="135"/>
      <c r="H47" s="135"/>
      <c r="I47" s="135"/>
      <c r="J47" s="135"/>
      <c r="K47" s="135"/>
    </row>
    <row r="48" spans="1:11">
      <c r="E48" s="135"/>
      <c r="F48" s="135"/>
      <c r="G48" s="135"/>
      <c r="H48" s="135"/>
      <c r="I48" s="135"/>
      <c r="J48" s="135"/>
      <c r="K48" s="135"/>
    </row>
    <row r="49" spans="5:11">
      <c r="E49" s="135"/>
      <c r="F49" s="135"/>
      <c r="G49" s="135"/>
      <c r="H49" s="135"/>
      <c r="I49" s="135"/>
      <c r="J49" s="135"/>
      <c r="K49" s="135"/>
    </row>
    <row r="50" spans="5:11">
      <c r="E50" s="135"/>
      <c r="F50" s="135"/>
      <c r="G50" s="135"/>
      <c r="H50" s="135"/>
      <c r="I50" s="135"/>
      <c r="J50" s="135"/>
      <c r="K50" s="135"/>
    </row>
    <row r="51" spans="5:11">
      <c r="E51" s="135"/>
      <c r="F51" s="135"/>
      <c r="G51" s="135"/>
      <c r="H51" s="135"/>
      <c r="I51" s="135"/>
      <c r="J51" s="135"/>
      <c r="K51" s="135"/>
    </row>
    <row r="52" spans="5:11">
      <c r="E52" s="135"/>
      <c r="F52" s="135"/>
      <c r="G52" s="135"/>
      <c r="H52" s="135"/>
      <c r="I52" s="135"/>
      <c r="J52" s="135"/>
      <c r="K52" s="135"/>
    </row>
    <row r="53" spans="5:11">
      <c r="E53" s="135"/>
      <c r="F53" s="135"/>
      <c r="G53" s="135"/>
      <c r="H53" s="135"/>
      <c r="I53" s="135"/>
      <c r="J53" s="135"/>
      <c r="K53" s="135"/>
    </row>
    <row r="54" spans="5:11">
      <c r="E54" s="135"/>
      <c r="F54" s="135"/>
      <c r="G54" s="135"/>
      <c r="H54" s="135"/>
      <c r="I54" s="135"/>
      <c r="J54" s="135"/>
      <c r="K54" s="135"/>
    </row>
    <row r="55" spans="5:11">
      <c r="E55" s="135"/>
      <c r="F55" s="135"/>
      <c r="G55" s="135"/>
      <c r="H55" s="135"/>
      <c r="I55" s="135"/>
      <c r="J55" s="135"/>
      <c r="K55" s="135"/>
    </row>
    <row r="56" spans="5:11">
      <c r="E56" s="135"/>
      <c r="F56" s="135"/>
      <c r="G56" s="135"/>
      <c r="H56" s="135"/>
      <c r="I56" s="135"/>
      <c r="J56" s="135"/>
      <c r="K56" s="135"/>
    </row>
    <row r="57" spans="5:11">
      <c r="E57" s="135"/>
      <c r="F57" s="135"/>
      <c r="G57" s="135"/>
      <c r="H57" s="135"/>
      <c r="I57" s="135"/>
      <c r="J57" s="135"/>
      <c r="K57" s="135"/>
    </row>
    <row r="58" spans="5:11">
      <c r="E58" s="135"/>
      <c r="F58" s="135"/>
      <c r="G58" s="135"/>
      <c r="H58" s="135"/>
      <c r="I58" s="135"/>
      <c r="J58" s="135"/>
      <c r="K58" s="135"/>
    </row>
    <row r="59" spans="5:11">
      <c r="E59" s="135"/>
      <c r="F59" s="135"/>
      <c r="G59" s="135"/>
      <c r="H59" s="135"/>
      <c r="I59" s="135"/>
      <c r="J59" s="135"/>
      <c r="K59" s="135"/>
    </row>
    <row r="60" spans="5:11">
      <c r="E60" s="135"/>
      <c r="F60" s="135"/>
      <c r="G60" s="135"/>
      <c r="H60" s="135"/>
      <c r="I60" s="135"/>
      <c r="J60" s="135"/>
      <c r="K60" s="135"/>
    </row>
    <row r="61" spans="5:11">
      <c r="E61" s="135"/>
      <c r="F61" s="135"/>
      <c r="G61" s="135"/>
      <c r="H61" s="135"/>
      <c r="I61" s="135"/>
      <c r="J61" s="135"/>
      <c r="K61" s="135"/>
    </row>
    <row r="62" spans="5:11">
      <c r="E62" s="135"/>
      <c r="F62" s="135"/>
      <c r="G62" s="135"/>
      <c r="H62" s="135"/>
      <c r="I62" s="135"/>
      <c r="J62" s="135"/>
      <c r="K62" s="135"/>
    </row>
    <row r="63" spans="5:11">
      <c r="E63" s="135"/>
      <c r="F63" s="135"/>
      <c r="G63" s="135"/>
      <c r="H63" s="135"/>
      <c r="I63" s="135"/>
      <c r="J63" s="135"/>
      <c r="K63" s="135"/>
    </row>
    <row r="64" spans="5:11">
      <c r="E64" s="135"/>
      <c r="F64" s="135"/>
      <c r="G64" s="135"/>
      <c r="H64" s="135"/>
      <c r="I64" s="135"/>
      <c r="J64" s="135"/>
      <c r="K64" s="135"/>
    </row>
    <row r="65" spans="5:11">
      <c r="E65" s="135"/>
      <c r="F65" s="135"/>
      <c r="G65" s="135"/>
      <c r="H65" s="135"/>
      <c r="I65" s="135"/>
      <c r="J65" s="135"/>
      <c r="K65" s="135"/>
    </row>
    <row r="66" spans="5:11">
      <c r="E66" s="135"/>
      <c r="F66" s="135"/>
      <c r="G66" s="135"/>
      <c r="H66" s="135"/>
      <c r="I66" s="135"/>
      <c r="J66" s="135"/>
      <c r="K66" s="135"/>
    </row>
    <row r="67" spans="5:11">
      <c r="E67" s="135"/>
      <c r="F67" s="135"/>
      <c r="G67" s="135"/>
      <c r="H67" s="135"/>
      <c r="I67" s="135"/>
      <c r="J67" s="135"/>
      <c r="K67" s="135"/>
    </row>
    <row r="68" spans="5:11">
      <c r="E68" s="135"/>
      <c r="F68" s="135"/>
      <c r="G68" s="135"/>
      <c r="H68" s="135"/>
      <c r="I68" s="135"/>
      <c r="J68" s="135"/>
      <c r="K68" s="135"/>
    </row>
    <row r="69" spans="5:11">
      <c r="E69" s="135"/>
      <c r="F69" s="135"/>
      <c r="G69" s="135"/>
      <c r="H69" s="135"/>
      <c r="I69" s="135"/>
      <c r="J69" s="135"/>
      <c r="K69" s="135"/>
    </row>
    <row r="70" spans="5:11">
      <c r="E70" s="135"/>
      <c r="F70" s="135"/>
      <c r="G70" s="135"/>
      <c r="H70" s="135"/>
      <c r="I70" s="135"/>
      <c r="J70" s="135"/>
      <c r="K70" s="135"/>
    </row>
    <row r="71" spans="5:11">
      <c r="E71" s="135"/>
      <c r="F71" s="135"/>
      <c r="G71" s="135"/>
      <c r="H71" s="135"/>
      <c r="I71" s="135"/>
      <c r="J71" s="135"/>
      <c r="K71" s="135"/>
    </row>
    <row r="72" spans="5:11">
      <c r="E72" s="135"/>
      <c r="F72" s="135"/>
      <c r="G72" s="135"/>
      <c r="H72" s="135"/>
      <c r="I72" s="135"/>
      <c r="J72" s="135"/>
      <c r="K72" s="135"/>
    </row>
    <row r="73" spans="5:11">
      <c r="E73" s="135"/>
      <c r="F73" s="135"/>
      <c r="G73" s="135"/>
      <c r="H73" s="135"/>
      <c r="I73" s="135"/>
      <c r="J73" s="135"/>
      <c r="K73" s="135"/>
    </row>
    <row r="74" spans="5:11">
      <c r="E74" s="135"/>
      <c r="F74" s="135"/>
      <c r="G74" s="135"/>
      <c r="H74" s="135"/>
      <c r="I74" s="135"/>
      <c r="J74" s="135"/>
      <c r="K74" s="135"/>
    </row>
    <row r="75" spans="5:11">
      <c r="E75" s="135"/>
      <c r="F75" s="135"/>
      <c r="G75" s="135"/>
      <c r="H75" s="135"/>
      <c r="I75" s="135"/>
      <c r="J75" s="135"/>
      <c r="K75" s="135"/>
    </row>
    <row r="76" spans="5:11">
      <c r="E76" s="135"/>
      <c r="F76" s="135"/>
      <c r="G76" s="135"/>
      <c r="H76" s="135"/>
      <c r="I76" s="135"/>
      <c r="J76" s="135"/>
      <c r="K76" s="135"/>
    </row>
    <row r="77" spans="5:11">
      <c r="E77" s="135"/>
      <c r="F77" s="135"/>
      <c r="G77" s="135"/>
      <c r="H77" s="135"/>
      <c r="I77" s="135"/>
      <c r="J77" s="135"/>
      <c r="K77" s="135"/>
    </row>
    <row r="78" spans="5:11">
      <c r="E78" s="135"/>
      <c r="F78" s="135"/>
      <c r="G78" s="135"/>
      <c r="H78" s="135"/>
      <c r="I78" s="135"/>
      <c r="J78" s="135"/>
      <c r="K78" s="135"/>
    </row>
    <row r="79" spans="5:11">
      <c r="E79" s="135"/>
      <c r="F79" s="135"/>
      <c r="G79" s="135"/>
      <c r="H79" s="135"/>
      <c r="I79" s="135"/>
      <c r="J79" s="135"/>
      <c r="K79" s="135"/>
    </row>
    <row r="80" spans="5:11">
      <c r="E80" s="135"/>
      <c r="F80" s="135"/>
      <c r="G80" s="135"/>
      <c r="H80" s="135"/>
      <c r="I80" s="135"/>
      <c r="J80" s="135"/>
      <c r="K80" s="135"/>
    </row>
    <row r="81" spans="5:11">
      <c r="E81" s="135"/>
      <c r="F81" s="135"/>
      <c r="G81" s="135"/>
      <c r="H81" s="135"/>
      <c r="I81" s="135"/>
      <c r="J81" s="135"/>
      <c r="K81" s="135"/>
    </row>
    <row r="82" spans="5:11">
      <c r="E82" s="135"/>
      <c r="F82" s="135"/>
      <c r="G82" s="135"/>
      <c r="H82" s="135"/>
      <c r="I82" s="135"/>
      <c r="J82" s="135"/>
      <c r="K82" s="135"/>
    </row>
    <row r="83" spans="5:11">
      <c r="E83" s="135"/>
      <c r="F83" s="135"/>
      <c r="G83" s="135"/>
      <c r="H83" s="135"/>
      <c r="I83" s="135"/>
      <c r="J83" s="135"/>
      <c r="K83" s="135"/>
    </row>
    <row r="84" spans="5:11">
      <c r="E84" s="135"/>
      <c r="F84" s="135"/>
      <c r="G84" s="135"/>
      <c r="H84" s="135"/>
      <c r="I84" s="135"/>
      <c r="J84" s="135"/>
      <c r="K84" s="135"/>
    </row>
    <row r="85" spans="5:11">
      <c r="E85" s="135"/>
      <c r="F85" s="135"/>
      <c r="G85" s="135"/>
      <c r="H85" s="135"/>
      <c r="I85" s="135"/>
      <c r="J85" s="135"/>
      <c r="K85" s="135"/>
    </row>
    <row r="86" spans="5:11">
      <c r="E86" s="135"/>
      <c r="F86" s="135"/>
      <c r="G86" s="135"/>
      <c r="H86" s="135"/>
      <c r="I86" s="135"/>
      <c r="J86" s="135"/>
      <c r="K86" s="135"/>
    </row>
    <row r="87" spans="5:11">
      <c r="E87" s="135"/>
      <c r="F87" s="135"/>
      <c r="G87" s="135"/>
      <c r="H87" s="135"/>
      <c r="I87" s="135"/>
      <c r="J87" s="135"/>
      <c r="K87" s="135"/>
    </row>
    <row r="88" spans="5:11">
      <c r="E88" s="135"/>
      <c r="F88" s="135"/>
      <c r="G88" s="135"/>
      <c r="H88" s="135"/>
      <c r="I88" s="135"/>
      <c r="J88" s="135"/>
      <c r="K88" s="135"/>
    </row>
    <row r="89" spans="5:11">
      <c r="E89" s="135"/>
      <c r="F89" s="135"/>
      <c r="G89" s="135"/>
      <c r="H89" s="135"/>
      <c r="I89" s="135"/>
      <c r="J89" s="135"/>
      <c r="K89" s="135"/>
    </row>
    <row r="90" spans="5:11">
      <c r="E90" s="135"/>
      <c r="F90" s="135"/>
      <c r="G90" s="135"/>
      <c r="H90" s="135"/>
      <c r="I90" s="135"/>
      <c r="J90" s="135"/>
      <c r="K90" s="135"/>
    </row>
    <row r="91" spans="5:11">
      <c r="E91" s="135"/>
      <c r="F91" s="135"/>
      <c r="G91" s="135"/>
      <c r="H91" s="135"/>
      <c r="I91" s="135"/>
      <c r="J91" s="135"/>
      <c r="K91" s="135"/>
    </row>
    <row r="92" spans="5:11">
      <c r="E92" s="135"/>
      <c r="F92" s="135"/>
      <c r="G92" s="135"/>
      <c r="H92" s="135"/>
      <c r="I92" s="135"/>
      <c r="J92" s="135"/>
      <c r="K92" s="135"/>
    </row>
    <row r="93" spans="5:11">
      <c r="E93" s="135"/>
      <c r="F93" s="135"/>
      <c r="G93" s="135"/>
      <c r="H93" s="135"/>
      <c r="I93" s="135"/>
      <c r="J93" s="135"/>
      <c r="K93" s="135"/>
    </row>
    <row r="94" spans="5:11">
      <c r="E94" s="135"/>
      <c r="F94" s="135"/>
      <c r="G94" s="135"/>
      <c r="H94" s="135"/>
      <c r="I94" s="135"/>
      <c r="J94" s="135"/>
      <c r="K94" s="135"/>
    </row>
    <row r="95" spans="5:11">
      <c r="E95" s="135"/>
      <c r="F95" s="135"/>
      <c r="G95" s="135"/>
      <c r="H95" s="135"/>
      <c r="I95" s="135"/>
      <c r="J95" s="135"/>
      <c r="K95" s="135"/>
    </row>
    <row r="96" spans="5:11">
      <c r="E96" s="135"/>
      <c r="F96" s="135"/>
      <c r="G96" s="135"/>
      <c r="H96" s="135"/>
      <c r="I96" s="135"/>
      <c r="J96" s="135"/>
      <c r="K96" s="135"/>
    </row>
    <row r="97" spans="5:11">
      <c r="E97" s="135"/>
      <c r="F97" s="135"/>
      <c r="G97" s="135"/>
      <c r="H97" s="135"/>
      <c r="I97" s="135"/>
      <c r="J97" s="135"/>
      <c r="K97" s="135"/>
    </row>
    <row r="98" spans="5:11">
      <c r="E98" s="135"/>
      <c r="F98" s="135"/>
      <c r="G98" s="135"/>
      <c r="H98" s="135"/>
      <c r="I98" s="135"/>
      <c r="J98" s="135"/>
      <c r="K98" s="135"/>
    </row>
    <row r="99" spans="5:11">
      <c r="E99" s="135"/>
      <c r="F99" s="135"/>
      <c r="G99" s="135"/>
      <c r="H99" s="135"/>
      <c r="I99" s="135"/>
      <c r="J99" s="135"/>
      <c r="K99" s="135"/>
    </row>
    <row r="100" spans="5:11">
      <c r="E100" s="135"/>
      <c r="F100" s="135"/>
      <c r="G100" s="135"/>
      <c r="H100" s="135"/>
      <c r="I100" s="135"/>
      <c r="J100" s="135"/>
      <c r="K100" s="135"/>
    </row>
    <row r="101" spans="5:11">
      <c r="E101" s="135"/>
      <c r="F101" s="135"/>
      <c r="G101" s="135"/>
      <c r="H101" s="135"/>
      <c r="I101" s="135"/>
      <c r="J101" s="135"/>
      <c r="K101" s="135"/>
    </row>
    <row r="102" spans="5:11">
      <c r="E102" s="135"/>
      <c r="F102" s="135"/>
      <c r="G102" s="135"/>
      <c r="H102" s="135"/>
      <c r="I102" s="135"/>
      <c r="J102" s="135"/>
      <c r="K102" s="135"/>
    </row>
    <row r="103" spans="5:11">
      <c r="E103" s="135"/>
      <c r="F103" s="135"/>
      <c r="G103" s="135"/>
      <c r="H103" s="135"/>
      <c r="I103" s="135"/>
      <c r="J103" s="135"/>
      <c r="K103" s="135"/>
    </row>
    <row r="104" spans="5:11">
      <c r="E104" s="135"/>
      <c r="F104" s="135"/>
      <c r="G104" s="135"/>
      <c r="H104" s="135"/>
      <c r="I104" s="135"/>
      <c r="J104" s="135"/>
      <c r="K104" s="135"/>
    </row>
    <row r="105" spans="5:11">
      <c r="E105" s="135"/>
      <c r="F105" s="135"/>
      <c r="G105" s="135"/>
      <c r="H105" s="135"/>
      <c r="I105" s="135"/>
      <c r="J105" s="135"/>
      <c r="K105" s="135"/>
    </row>
    <row r="106" spans="5:11">
      <c r="E106" s="135"/>
      <c r="F106" s="135"/>
      <c r="G106" s="135"/>
      <c r="H106" s="135"/>
      <c r="I106" s="135"/>
      <c r="J106" s="135"/>
      <c r="K106" s="135"/>
    </row>
    <row r="107" spans="5:11">
      <c r="E107" s="135"/>
      <c r="F107" s="135"/>
      <c r="G107" s="135"/>
      <c r="H107" s="135"/>
      <c r="I107" s="135"/>
      <c r="J107" s="135"/>
      <c r="K107" s="135"/>
    </row>
    <row r="108" spans="5:11">
      <c r="E108" s="135"/>
      <c r="F108" s="135"/>
      <c r="G108" s="135"/>
      <c r="H108" s="135"/>
      <c r="I108" s="135"/>
      <c r="J108" s="135"/>
      <c r="K108" s="135"/>
    </row>
    <row r="109" spans="5:11">
      <c r="E109" s="135"/>
      <c r="F109" s="135"/>
      <c r="G109" s="135"/>
      <c r="H109" s="135"/>
      <c r="I109" s="135"/>
      <c r="J109" s="135"/>
      <c r="K109" s="135"/>
    </row>
    <row r="110" spans="5:11">
      <c r="E110" s="135"/>
      <c r="F110" s="135"/>
      <c r="G110" s="135"/>
      <c r="H110" s="135"/>
      <c r="I110" s="135"/>
      <c r="J110" s="135"/>
      <c r="K110" s="135"/>
    </row>
    <row r="111" spans="5:11">
      <c r="E111" s="135"/>
      <c r="F111" s="135"/>
      <c r="G111" s="135"/>
      <c r="H111" s="135"/>
      <c r="I111" s="135"/>
      <c r="J111" s="135"/>
      <c r="K111" s="135"/>
    </row>
    <row r="112" spans="5:11">
      <c r="E112" s="135"/>
      <c r="F112" s="135"/>
      <c r="G112" s="135"/>
      <c r="H112" s="135"/>
      <c r="I112" s="135"/>
      <c r="J112" s="135"/>
      <c r="K112" s="135"/>
    </row>
    <row r="113" spans="5:11">
      <c r="E113" s="135"/>
      <c r="F113" s="135"/>
      <c r="G113" s="135"/>
      <c r="H113" s="135"/>
      <c r="I113" s="135"/>
      <c r="J113" s="135"/>
      <c r="K113" s="135"/>
    </row>
    <row r="114" spans="5:11">
      <c r="E114" s="135"/>
      <c r="F114" s="135"/>
      <c r="G114" s="135"/>
      <c r="H114" s="135"/>
      <c r="I114" s="135"/>
      <c r="J114" s="135"/>
      <c r="K114" s="135"/>
    </row>
    <row r="115" spans="5:11">
      <c r="E115" s="135"/>
      <c r="F115" s="135"/>
      <c r="G115" s="135"/>
      <c r="H115" s="135"/>
      <c r="I115" s="135"/>
      <c r="J115" s="135"/>
      <c r="K115" s="135"/>
    </row>
    <row r="116" spans="5:11">
      <c r="E116" s="135"/>
      <c r="F116" s="135"/>
      <c r="G116" s="135"/>
      <c r="H116" s="135"/>
      <c r="I116" s="135"/>
      <c r="J116" s="135"/>
      <c r="K116" s="135"/>
    </row>
    <row r="117" spans="5:11">
      <c r="E117" s="135"/>
      <c r="F117" s="135"/>
      <c r="G117" s="135"/>
      <c r="H117" s="135"/>
      <c r="I117" s="135"/>
      <c r="J117" s="135"/>
      <c r="K117" s="135"/>
    </row>
    <row r="118" spans="5:11">
      <c r="E118" s="135"/>
      <c r="F118" s="135"/>
      <c r="G118" s="135"/>
      <c r="H118" s="135"/>
      <c r="I118" s="135"/>
      <c r="J118" s="135"/>
      <c r="K118" s="135"/>
    </row>
    <row r="119" spans="5:11">
      <c r="E119" s="135"/>
      <c r="F119" s="135"/>
      <c r="G119" s="135"/>
      <c r="H119" s="135"/>
      <c r="I119" s="135"/>
      <c r="J119" s="135"/>
      <c r="K119" s="135"/>
    </row>
    <row r="120" spans="5:11">
      <c r="E120" s="135"/>
      <c r="F120" s="135"/>
      <c r="G120" s="135"/>
      <c r="H120" s="135"/>
      <c r="I120" s="135"/>
      <c r="J120" s="135"/>
      <c r="K120" s="135"/>
    </row>
    <row r="121" spans="5:11">
      <c r="E121" s="135"/>
      <c r="F121" s="135"/>
      <c r="G121" s="135"/>
      <c r="H121" s="135"/>
      <c r="I121" s="135"/>
      <c r="J121" s="135"/>
      <c r="K121" s="135"/>
    </row>
    <row r="122" spans="5:11">
      <c r="E122" s="135"/>
      <c r="F122" s="135"/>
      <c r="G122" s="135"/>
      <c r="H122" s="135"/>
      <c r="I122" s="135"/>
      <c r="J122" s="135"/>
      <c r="K122" s="135"/>
    </row>
    <row r="123" spans="5:11">
      <c r="E123" s="135"/>
      <c r="F123" s="135"/>
      <c r="G123" s="135"/>
      <c r="H123" s="135"/>
      <c r="I123" s="135"/>
      <c r="J123" s="135"/>
      <c r="K123" s="135"/>
    </row>
    <row r="124" spans="5:11">
      <c r="E124" s="135"/>
      <c r="F124" s="135"/>
      <c r="G124" s="135"/>
      <c r="H124" s="135"/>
      <c r="I124" s="135"/>
      <c r="J124" s="135"/>
      <c r="K124" s="135"/>
    </row>
    <row r="125" spans="5:11">
      <c r="E125" s="135"/>
      <c r="F125" s="135"/>
      <c r="G125" s="135"/>
      <c r="H125" s="135"/>
      <c r="I125" s="135"/>
      <c r="J125" s="135"/>
      <c r="K125" s="135"/>
    </row>
    <row r="126" spans="5:11">
      <c r="E126" s="135"/>
      <c r="F126" s="135"/>
      <c r="G126" s="135"/>
      <c r="H126" s="135"/>
      <c r="I126" s="135"/>
      <c r="J126" s="135"/>
      <c r="K126" s="135"/>
    </row>
    <row r="127" spans="5:11">
      <c r="E127" s="135"/>
      <c r="F127" s="135"/>
      <c r="G127" s="135"/>
      <c r="H127" s="135"/>
      <c r="I127" s="135"/>
      <c r="J127" s="135"/>
      <c r="K127" s="135"/>
    </row>
    <row r="128" spans="5:11">
      <c r="E128" s="135"/>
      <c r="F128" s="135"/>
      <c r="G128" s="135"/>
      <c r="H128" s="135"/>
      <c r="I128" s="135"/>
      <c r="J128" s="135"/>
      <c r="K128" s="135"/>
    </row>
    <row r="129" spans="5:11">
      <c r="E129" s="135"/>
      <c r="F129" s="135"/>
      <c r="G129" s="135"/>
      <c r="H129" s="135"/>
      <c r="I129" s="135"/>
      <c r="J129" s="135"/>
      <c r="K129" s="135"/>
    </row>
    <row r="130" spans="5:11">
      <c r="E130" s="135"/>
      <c r="F130" s="135"/>
      <c r="G130" s="135"/>
      <c r="H130" s="135"/>
      <c r="I130" s="135"/>
      <c r="J130" s="135"/>
      <c r="K130" s="135"/>
    </row>
    <row r="131" spans="5:11">
      <c r="E131" s="135"/>
      <c r="F131" s="135"/>
      <c r="G131" s="135"/>
      <c r="H131" s="135"/>
      <c r="I131" s="135"/>
      <c r="J131" s="135"/>
      <c r="K131" s="135"/>
    </row>
    <row r="132" spans="5:11">
      <c r="E132" s="135"/>
      <c r="F132" s="135"/>
      <c r="G132" s="135"/>
      <c r="H132" s="135"/>
      <c r="I132" s="135"/>
      <c r="J132" s="135"/>
      <c r="K132" s="135"/>
    </row>
    <row r="133" spans="5:11">
      <c r="E133" s="135"/>
      <c r="F133" s="135"/>
      <c r="G133" s="135"/>
      <c r="H133" s="135"/>
      <c r="I133" s="135"/>
      <c r="J133" s="135"/>
      <c r="K133" s="135"/>
    </row>
    <row r="134" spans="5:11">
      <c r="E134" s="135"/>
      <c r="F134" s="135"/>
      <c r="G134" s="135"/>
      <c r="H134" s="135"/>
      <c r="I134" s="135"/>
      <c r="J134" s="135"/>
      <c r="K134" s="135"/>
    </row>
    <row r="135" spans="5:11">
      <c r="E135" s="135"/>
      <c r="F135" s="135"/>
      <c r="G135" s="135"/>
      <c r="H135" s="135"/>
      <c r="I135" s="135"/>
      <c r="J135" s="135"/>
      <c r="K135" s="135"/>
    </row>
    <row r="136" spans="5:11">
      <c r="E136" s="135"/>
      <c r="F136" s="135"/>
      <c r="G136" s="135"/>
      <c r="H136" s="135"/>
      <c r="I136" s="135"/>
      <c r="J136" s="135"/>
      <c r="K136" s="135"/>
    </row>
    <row r="137" spans="5:11">
      <c r="E137" s="135"/>
      <c r="F137" s="135"/>
      <c r="G137" s="135"/>
      <c r="H137" s="135"/>
      <c r="I137" s="135"/>
      <c r="J137" s="135"/>
      <c r="K137" s="135"/>
    </row>
    <row r="138" spans="5:11">
      <c r="E138" s="135"/>
      <c r="F138" s="135"/>
      <c r="G138" s="135"/>
      <c r="H138" s="135"/>
      <c r="I138" s="135"/>
      <c r="J138" s="135"/>
      <c r="K138" s="135"/>
    </row>
    <row r="139" spans="5:11">
      <c r="E139" s="135"/>
      <c r="F139" s="135"/>
      <c r="G139" s="135"/>
      <c r="H139" s="135"/>
      <c r="I139" s="135"/>
      <c r="J139" s="135"/>
      <c r="K139" s="135"/>
    </row>
    <row r="140" spans="5:11">
      <c r="E140" s="135"/>
      <c r="F140" s="135"/>
      <c r="G140" s="135"/>
      <c r="H140" s="135"/>
      <c r="I140" s="135"/>
      <c r="J140" s="135"/>
      <c r="K140" s="135"/>
    </row>
    <row r="141" spans="5:11">
      <c r="E141" s="135"/>
      <c r="F141" s="135"/>
      <c r="G141" s="135"/>
      <c r="H141" s="135"/>
      <c r="I141" s="135"/>
      <c r="J141" s="135"/>
      <c r="K141" s="135"/>
    </row>
    <row r="142" spans="5:11">
      <c r="E142" s="135"/>
      <c r="F142" s="135"/>
      <c r="G142" s="135"/>
      <c r="H142" s="135"/>
      <c r="I142" s="135"/>
      <c r="J142" s="135"/>
      <c r="K142" s="135"/>
    </row>
    <row r="143" spans="5:11">
      <c r="E143" s="135"/>
      <c r="F143" s="135"/>
      <c r="G143" s="135"/>
      <c r="H143" s="135"/>
      <c r="I143" s="135"/>
      <c r="J143" s="135"/>
      <c r="K143" s="135"/>
    </row>
    <row r="144" spans="5:11">
      <c r="E144" s="135"/>
      <c r="F144" s="135"/>
      <c r="G144" s="135"/>
      <c r="H144" s="135"/>
      <c r="I144" s="135"/>
      <c r="J144" s="135"/>
      <c r="K144" s="135"/>
    </row>
    <row r="145" spans="5:11">
      <c r="E145" s="135"/>
      <c r="F145" s="135"/>
      <c r="G145" s="135"/>
      <c r="H145" s="135"/>
      <c r="I145" s="135"/>
      <c r="J145" s="135"/>
      <c r="K145" s="135"/>
    </row>
    <row r="146" spans="5:11">
      <c r="E146" s="135"/>
      <c r="F146" s="135"/>
      <c r="G146" s="135"/>
      <c r="H146" s="135"/>
      <c r="I146" s="135"/>
      <c r="J146" s="135"/>
      <c r="K146" s="135"/>
    </row>
    <row r="147" spans="5:11">
      <c r="E147" s="135"/>
      <c r="F147" s="135"/>
      <c r="G147" s="135"/>
      <c r="H147" s="135"/>
      <c r="I147" s="135"/>
      <c r="J147" s="135"/>
      <c r="K147" s="135"/>
    </row>
    <row r="148" spans="5:11">
      <c r="E148" s="135"/>
      <c r="F148" s="135"/>
      <c r="G148" s="135"/>
      <c r="H148" s="135"/>
      <c r="I148" s="135"/>
      <c r="J148" s="135"/>
      <c r="K148" s="135"/>
    </row>
    <row r="149" spans="5:11">
      <c r="E149" s="135"/>
      <c r="F149" s="135"/>
      <c r="G149" s="135"/>
      <c r="H149" s="135"/>
      <c r="I149" s="135"/>
      <c r="J149" s="135"/>
      <c r="K149" s="135"/>
    </row>
    <row r="150" spans="5:11">
      <c r="E150" s="135"/>
      <c r="F150" s="135"/>
      <c r="G150" s="135"/>
      <c r="H150" s="135"/>
      <c r="I150" s="135"/>
      <c r="J150" s="135"/>
      <c r="K150" s="135"/>
    </row>
    <row r="151" spans="5:11">
      <c r="E151" s="135"/>
      <c r="F151" s="135"/>
      <c r="G151" s="135"/>
      <c r="H151" s="135"/>
      <c r="I151" s="135"/>
      <c r="J151" s="135"/>
      <c r="K151" s="135"/>
    </row>
    <row r="152" spans="5:11">
      <c r="E152" s="135"/>
      <c r="F152" s="135"/>
      <c r="G152" s="135"/>
      <c r="H152" s="135"/>
      <c r="I152" s="135"/>
      <c r="J152" s="135"/>
      <c r="K152" s="135"/>
    </row>
    <row r="153" spans="5:11">
      <c r="E153" s="135"/>
      <c r="F153" s="135"/>
      <c r="G153" s="135"/>
      <c r="H153" s="135"/>
      <c r="I153" s="135"/>
      <c r="J153" s="135"/>
      <c r="K153" s="135"/>
    </row>
    <row r="154" spans="5:11">
      <c r="E154" s="135"/>
      <c r="F154" s="135"/>
      <c r="G154" s="135"/>
      <c r="H154" s="135"/>
      <c r="I154" s="135"/>
      <c r="J154" s="135"/>
      <c r="K154" s="135"/>
    </row>
    <row r="155" spans="5:11">
      <c r="E155" s="135"/>
      <c r="F155" s="135"/>
      <c r="G155" s="135"/>
      <c r="H155" s="135"/>
      <c r="I155" s="135"/>
      <c r="J155" s="135"/>
      <c r="K155" s="135"/>
    </row>
    <row r="156" spans="5:11">
      <c r="E156" s="135"/>
      <c r="F156" s="135"/>
      <c r="G156" s="135"/>
      <c r="H156" s="135"/>
      <c r="I156" s="135"/>
      <c r="J156" s="135"/>
      <c r="K156" s="135"/>
    </row>
    <row r="157" spans="5:11">
      <c r="E157" s="135"/>
      <c r="F157" s="135"/>
      <c r="G157" s="135"/>
      <c r="H157" s="135"/>
      <c r="I157" s="135"/>
      <c r="J157" s="135"/>
      <c r="K157" s="135"/>
    </row>
    <row r="158" spans="5:11">
      <c r="E158" s="135"/>
      <c r="F158" s="135"/>
      <c r="G158" s="135"/>
      <c r="H158" s="135"/>
      <c r="I158" s="135"/>
      <c r="J158" s="135"/>
      <c r="K158" s="135"/>
    </row>
    <row r="159" spans="5:11">
      <c r="E159" s="135"/>
      <c r="F159" s="135"/>
      <c r="G159" s="135"/>
      <c r="H159" s="135"/>
      <c r="I159" s="135"/>
      <c r="J159" s="135"/>
      <c r="K159" s="135"/>
    </row>
    <row r="160" spans="5:11">
      <c r="E160" s="135"/>
      <c r="F160" s="135"/>
      <c r="G160" s="135"/>
      <c r="H160" s="135"/>
      <c r="I160" s="135"/>
      <c r="J160" s="135"/>
      <c r="K160" s="135"/>
    </row>
    <row r="161" spans="5:11">
      <c r="E161" s="135"/>
      <c r="F161" s="135"/>
      <c r="G161" s="135"/>
      <c r="H161" s="135"/>
      <c r="I161" s="135"/>
      <c r="J161" s="135"/>
      <c r="K161" s="135"/>
    </row>
    <row r="162" spans="5:11">
      <c r="E162" s="135"/>
      <c r="F162" s="135"/>
      <c r="G162" s="135"/>
      <c r="H162" s="135"/>
      <c r="I162" s="135"/>
      <c r="J162" s="135"/>
      <c r="K162" s="135"/>
    </row>
    <row r="163" spans="5:11">
      <c r="E163" s="135"/>
      <c r="F163" s="135"/>
      <c r="G163" s="135"/>
      <c r="H163" s="135"/>
      <c r="I163" s="135"/>
      <c r="J163" s="135"/>
      <c r="K163" s="135"/>
    </row>
    <row r="164" spans="5:11">
      <c r="E164" s="135"/>
      <c r="F164" s="135"/>
      <c r="G164" s="135"/>
      <c r="H164" s="135"/>
      <c r="I164" s="135"/>
      <c r="J164" s="135"/>
      <c r="K164" s="135"/>
    </row>
    <row r="165" spans="5:11">
      <c r="E165" s="135"/>
      <c r="F165" s="135"/>
      <c r="G165" s="135"/>
      <c r="H165" s="135"/>
      <c r="I165" s="135"/>
      <c r="J165" s="135"/>
      <c r="K165" s="135"/>
    </row>
    <row r="166" spans="5:11">
      <c r="E166" s="135"/>
      <c r="F166" s="135"/>
      <c r="G166" s="135"/>
      <c r="H166" s="135"/>
      <c r="I166" s="135"/>
      <c r="J166" s="135"/>
      <c r="K166" s="135"/>
    </row>
    <row r="167" spans="5:11">
      <c r="E167" s="135"/>
      <c r="F167" s="135"/>
      <c r="G167" s="135"/>
      <c r="H167" s="135"/>
      <c r="I167" s="135"/>
      <c r="J167" s="135"/>
      <c r="K167" s="135"/>
    </row>
    <row r="168" spans="5:11">
      <c r="E168" s="135"/>
      <c r="F168" s="135"/>
      <c r="G168" s="135"/>
      <c r="H168" s="135"/>
      <c r="I168" s="135"/>
      <c r="J168" s="135"/>
      <c r="K168" s="135"/>
    </row>
    <row r="169" spans="5:11">
      <c r="E169" s="135"/>
      <c r="F169" s="135"/>
      <c r="G169" s="135"/>
      <c r="H169" s="135"/>
      <c r="I169" s="135"/>
      <c r="J169" s="135"/>
      <c r="K169" s="135"/>
    </row>
    <row r="170" spans="5:11">
      <c r="E170" s="135"/>
      <c r="F170" s="135"/>
      <c r="G170" s="135"/>
      <c r="H170" s="135"/>
      <c r="I170" s="135"/>
      <c r="J170" s="135"/>
      <c r="K170" s="135"/>
    </row>
    <row r="171" spans="5:11">
      <c r="E171" s="135"/>
      <c r="F171" s="135"/>
      <c r="G171" s="135"/>
      <c r="H171" s="135"/>
      <c r="I171" s="135"/>
      <c r="J171" s="135"/>
      <c r="K171" s="135"/>
    </row>
    <row r="172" spans="5:11">
      <c r="E172" s="135"/>
      <c r="F172" s="135"/>
      <c r="G172" s="135"/>
      <c r="H172" s="135"/>
      <c r="I172" s="135"/>
      <c r="J172" s="135"/>
      <c r="K172" s="135"/>
    </row>
    <row r="173" spans="5:11">
      <c r="E173" s="135"/>
      <c r="F173" s="135"/>
      <c r="G173" s="135"/>
      <c r="H173" s="135"/>
      <c r="I173" s="135"/>
      <c r="J173" s="135"/>
      <c r="K173" s="135"/>
    </row>
    <row r="174" spans="5:11">
      <c r="E174" s="135"/>
      <c r="F174" s="135"/>
      <c r="G174" s="135"/>
      <c r="H174" s="135"/>
      <c r="I174" s="135"/>
      <c r="J174" s="135"/>
      <c r="K174" s="135"/>
    </row>
    <row r="175" spans="5:11">
      <c r="E175" s="135"/>
      <c r="F175" s="135"/>
      <c r="G175" s="135"/>
      <c r="H175" s="135"/>
      <c r="I175" s="135"/>
      <c r="J175" s="135"/>
      <c r="K175" s="135"/>
    </row>
    <row r="176" spans="5:11">
      <c r="E176" s="135"/>
      <c r="F176" s="135"/>
      <c r="G176" s="135"/>
      <c r="H176" s="135"/>
      <c r="I176" s="135"/>
      <c r="J176" s="135"/>
      <c r="K176" s="135"/>
    </row>
    <row r="177" spans="5:11">
      <c r="E177" s="135"/>
      <c r="F177" s="135"/>
      <c r="G177" s="135"/>
      <c r="H177" s="135"/>
      <c r="I177" s="135"/>
      <c r="J177" s="135"/>
      <c r="K177" s="135"/>
    </row>
    <row r="178" spans="5:11">
      <c r="E178" s="135"/>
      <c r="F178" s="135"/>
      <c r="G178" s="135"/>
      <c r="H178" s="135"/>
      <c r="I178" s="135"/>
      <c r="J178" s="135"/>
      <c r="K178" s="135"/>
    </row>
    <row r="179" spans="5:11">
      <c r="E179" s="135"/>
      <c r="F179" s="135"/>
      <c r="G179" s="135"/>
      <c r="H179" s="135"/>
      <c r="I179" s="135"/>
      <c r="J179" s="135"/>
      <c r="K179" s="135"/>
    </row>
    <row r="180" spans="5:11">
      <c r="E180" s="135"/>
      <c r="F180" s="135"/>
      <c r="G180" s="135"/>
      <c r="H180" s="135"/>
      <c r="I180" s="135"/>
      <c r="J180" s="135"/>
      <c r="K180" s="135"/>
    </row>
    <row r="181" spans="5:11">
      <c r="E181" s="135"/>
      <c r="F181" s="135"/>
      <c r="G181" s="135"/>
      <c r="H181" s="135"/>
      <c r="I181" s="135"/>
      <c r="J181" s="135"/>
      <c r="K181" s="135"/>
    </row>
    <row r="182" spans="5:11">
      <c r="E182" s="135"/>
      <c r="F182" s="135"/>
      <c r="G182" s="135"/>
      <c r="H182" s="135"/>
      <c r="I182" s="135"/>
      <c r="J182" s="135"/>
      <c r="K182" s="135"/>
    </row>
    <row r="183" spans="5:11">
      <c r="E183" s="135"/>
      <c r="F183" s="135"/>
      <c r="G183" s="135"/>
      <c r="H183" s="135"/>
      <c r="I183" s="135"/>
      <c r="J183" s="135"/>
      <c r="K183" s="135"/>
    </row>
    <row r="184" spans="5:11">
      <c r="E184" s="135"/>
      <c r="F184" s="135"/>
      <c r="G184" s="135"/>
      <c r="H184" s="135"/>
      <c r="I184" s="135"/>
      <c r="J184" s="135"/>
      <c r="K184" s="135"/>
    </row>
    <row r="185" spans="5:11">
      <c r="E185" s="135"/>
      <c r="F185" s="135"/>
      <c r="G185" s="135"/>
      <c r="H185" s="135"/>
      <c r="I185" s="135"/>
      <c r="J185" s="135"/>
      <c r="K185" s="135"/>
    </row>
    <row r="186" spans="5:11">
      <c r="E186" s="135"/>
      <c r="F186" s="135"/>
      <c r="G186" s="135"/>
      <c r="H186" s="135"/>
      <c r="I186" s="135"/>
      <c r="J186" s="135"/>
      <c r="K186" s="135"/>
    </row>
    <row r="187" spans="5:11">
      <c r="E187" s="135"/>
      <c r="F187" s="135"/>
      <c r="G187" s="135"/>
      <c r="H187" s="135"/>
      <c r="I187" s="135"/>
      <c r="J187" s="135"/>
      <c r="K187" s="135"/>
    </row>
    <row r="188" spans="5:11">
      <c r="E188" s="135"/>
      <c r="F188" s="135"/>
      <c r="G188" s="135"/>
      <c r="H188" s="135"/>
      <c r="I188" s="135"/>
      <c r="J188" s="135"/>
      <c r="K188" s="135"/>
    </row>
    <row r="189" spans="5:11">
      <c r="E189" s="135"/>
      <c r="F189" s="135"/>
      <c r="G189" s="135"/>
      <c r="H189" s="135"/>
      <c r="I189" s="135"/>
      <c r="J189" s="135"/>
      <c r="K189" s="135"/>
    </row>
    <row r="190" spans="5:11">
      <c r="E190" s="135"/>
      <c r="F190" s="135"/>
      <c r="G190" s="135"/>
      <c r="H190" s="135"/>
      <c r="I190" s="135"/>
      <c r="J190" s="135"/>
      <c r="K190" s="135"/>
    </row>
    <row r="191" spans="5:11">
      <c r="E191" s="135"/>
      <c r="F191" s="135"/>
      <c r="G191" s="135"/>
      <c r="H191" s="135"/>
      <c r="I191" s="135"/>
      <c r="J191" s="135"/>
      <c r="K191" s="135"/>
    </row>
    <row r="192" spans="5:11">
      <c r="E192" s="135"/>
      <c r="F192" s="135"/>
      <c r="G192" s="135"/>
      <c r="H192" s="135"/>
      <c r="I192" s="135"/>
      <c r="J192" s="135"/>
      <c r="K192" s="135"/>
    </row>
    <row r="193" spans="5:11">
      <c r="E193" s="135"/>
      <c r="F193" s="135"/>
      <c r="G193" s="135"/>
      <c r="H193" s="135"/>
      <c r="I193" s="135"/>
      <c r="J193" s="135"/>
      <c r="K193" s="135"/>
    </row>
    <row r="194" spans="5:11">
      <c r="E194" s="135"/>
      <c r="F194" s="135"/>
      <c r="G194" s="135"/>
      <c r="H194" s="135"/>
      <c r="I194" s="135"/>
      <c r="J194" s="135"/>
      <c r="K194" s="135"/>
    </row>
    <row r="195" spans="5:11">
      <c r="E195" s="135"/>
      <c r="F195" s="135"/>
      <c r="G195" s="135"/>
      <c r="H195" s="135"/>
      <c r="I195" s="135"/>
      <c r="J195" s="135"/>
      <c r="K195" s="135"/>
    </row>
    <row r="196" spans="5:11">
      <c r="E196" s="135"/>
      <c r="F196" s="135"/>
      <c r="G196" s="135"/>
      <c r="H196" s="135"/>
      <c r="I196" s="135"/>
      <c r="J196" s="135"/>
      <c r="K196" s="135"/>
    </row>
    <row r="197" spans="5:11">
      <c r="E197" s="135"/>
      <c r="F197" s="135"/>
      <c r="G197" s="135"/>
      <c r="H197" s="135"/>
      <c r="I197" s="135"/>
      <c r="J197" s="135"/>
      <c r="K197" s="135"/>
    </row>
    <row r="198" spans="5:11">
      <c r="E198" s="135"/>
      <c r="F198" s="135"/>
      <c r="G198" s="135"/>
      <c r="H198" s="135"/>
      <c r="I198" s="135"/>
      <c r="J198" s="135"/>
      <c r="K198" s="135"/>
    </row>
    <row r="199" spans="5:11">
      <c r="E199" s="135"/>
      <c r="F199" s="135"/>
      <c r="G199" s="135"/>
      <c r="H199" s="135"/>
      <c r="I199" s="135"/>
      <c r="J199" s="135"/>
      <c r="K199" s="135"/>
    </row>
    <row r="200" spans="5:11">
      <c r="E200" s="135"/>
      <c r="F200" s="135"/>
      <c r="G200" s="135"/>
      <c r="H200" s="135"/>
      <c r="I200" s="135"/>
      <c r="J200" s="135"/>
      <c r="K200" s="135"/>
    </row>
    <row r="201" spans="5:11">
      <c r="E201" s="135"/>
      <c r="F201" s="135"/>
      <c r="G201" s="135"/>
      <c r="H201" s="135"/>
      <c r="I201" s="135"/>
      <c r="J201" s="135"/>
      <c r="K201" s="135"/>
    </row>
    <row r="202" spans="5:11">
      <c r="E202" s="135"/>
      <c r="F202" s="135"/>
      <c r="G202" s="135"/>
      <c r="H202" s="135"/>
      <c r="I202" s="135"/>
      <c r="J202" s="135"/>
      <c r="K202" s="135"/>
    </row>
    <row r="203" spans="5:11">
      <c r="E203" s="135"/>
      <c r="F203" s="135"/>
      <c r="G203" s="135"/>
      <c r="H203" s="135"/>
      <c r="I203" s="135"/>
      <c r="J203" s="135"/>
      <c r="K203" s="135"/>
    </row>
    <row r="204" spans="5:11">
      <c r="E204" s="135"/>
      <c r="F204" s="135"/>
      <c r="G204" s="135"/>
      <c r="H204" s="135"/>
      <c r="I204" s="135"/>
      <c r="J204" s="135"/>
      <c r="K204" s="135"/>
    </row>
    <row r="205" spans="5:11">
      <c r="E205" s="135"/>
      <c r="F205" s="135"/>
      <c r="G205" s="135"/>
      <c r="H205" s="135"/>
      <c r="I205" s="135"/>
      <c r="J205" s="135"/>
      <c r="K205" s="135"/>
    </row>
    <row r="206" spans="5:11">
      <c r="E206" s="135"/>
      <c r="F206" s="135"/>
      <c r="G206" s="135"/>
      <c r="H206" s="135"/>
      <c r="I206" s="135"/>
      <c r="J206" s="135"/>
      <c r="K206" s="135"/>
    </row>
    <row r="207" spans="5:11">
      <c r="E207" s="135"/>
      <c r="F207" s="135"/>
      <c r="G207" s="135"/>
      <c r="H207" s="135"/>
      <c r="I207" s="135"/>
      <c r="J207" s="135"/>
      <c r="K207" s="135"/>
    </row>
    <row r="208" spans="5:11">
      <c r="E208" s="135"/>
      <c r="F208" s="135"/>
      <c r="G208" s="135"/>
      <c r="H208" s="135"/>
      <c r="I208" s="135"/>
      <c r="J208" s="135"/>
      <c r="K208" s="135"/>
    </row>
    <row r="209" spans="5:11">
      <c r="E209" s="135"/>
      <c r="F209" s="135"/>
      <c r="G209" s="135"/>
      <c r="H209" s="135"/>
      <c r="I209" s="135"/>
      <c r="J209" s="135"/>
      <c r="K209" s="135"/>
    </row>
    <row r="210" spans="5:11">
      <c r="E210" s="135"/>
      <c r="F210" s="135"/>
      <c r="G210" s="135"/>
      <c r="H210" s="135"/>
      <c r="I210" s="135"/>
      <c r="J210" s="135"/>
      <c r="K210" s="135"/>
    </row>
    <row r="211" spans="5:11">
      <c r="E211" s="135"/>
      <c r="F211" s="135"/>
      <c r="G211" s="135"/>
      <c r="H211" s="135"/>
      <c r="I211" s="135"/>
      <c r="J211" s="135"/>
      <c r="K211" s="135"/>
    </row>
    <row r="212" spans="5:11">
      <c r="E212" s="135"/>
      <c r="F212" s="135"/>
      <c r="G212" s="135"/>
      <c r="H212" s="135"/>
      <c r="I212" s="135"/>
      <c r="J212" s="135"/>
      <c r="K212" s="135"/>
    </row>
    <row r="213" spans="5:11">
      <c r="E213" s="135"/>
      <c r="F213" s="135"/>
      <c r="G213" s="135"/>
      <c r="H213" s="135"/>
      <c r="I213" s="135"/>
      <c r="J213" s="135"/>
      <c r="K213" s="135"/>
    </row>
    <row r="214" spans="5:11">
      <c r="E214" s="135"/>
      <c r="F214" s="135"/>
      <c r="G214" s="135"/>
      <c r="H214" s="135"/>
      <c r="I214" s="135"/>
      <c r="J214" s="135"/>
      <c r="K214" s="135"/>
    </row>
    <row r="215" spans="5:11">
      <c r="E215" s="135"/>
      <c r="F215" s="135"/>
      <c r="G215" s="135"/>
      <c r="H215" s="135"/>
      <c r="I215" s="135"/>
      <c r="J215" s="135"/>
      <c r="K215" s="135"/>
    </row>
    <row r="216" spans="5:11">
      <c r="E216" s="135"/>
      <c r="F216" s="135"/>
      <c r="G216" s="135"/>
      <c r="H216" s="135"/>
      <c r="I216" s="135"/>
      <c r="J216" s="135"/>
      <c r="K216" s="135"/>
    </row>
    <row r="217" spans="5:11">
      <c r="E217" s="135"/>
      <c r="F217" s="135"/>
      <c r="G217" s="135"/>
      <c r="H217" s="135"/>
      <c r="I217" s="135"/>
      <c r="J217" s="135"/>
      <c r="K217" s="135"/>
    </row>
    <row r="218" spans="5:11">
      <c r="E218" s="135"/>
      <c r="F218" s="135"/>
      <c r="G218" s="135"/>
      <c r="H218" s="135"/>
      <c r="I218" s="135"/>
      <c r="J218" s="135"/>
      <c r="K218" s="135"/>
    </row>
    <row r="219" spans="5:11">
      <c r="E219" s="135"/>
      <c r="F219" s="135"/>
      <c r="G219" s="135"/>
      <c r="H219" s="135"/>
      <c r="I219" s="135"/>
      <c r="J219" s="135"/>
      <c r="K219" s="135"/>
    </row>
    <row r="220" spans="5:11">
      <c r="E220" s="135"/>
      <c r="F220" s="135"/>
      <c r="G220" s="135"/>
      <c r="H220" s="135"/>
      <c r="I220" s="135"/>
      <c r="J220" s="135"/>
      <c r="K220" s="135"/>
    </row>
    <row r="221" spans="5:11">
      <c r="E221" s="135"/>
      <c r="F221" s="135"/>
      <c r="G221" s="135"/>
      <c r="H221" s="135"/>
      <c r="I221" s="135"/>
      <c r="J221" s="135"/>
      <c r="K221" s="135"/>
    </row>
    <row r="222" spans="5:11">
      <c r="E222" s="135"/>
      <c r="F222" s="135"/>
      <c r="G222" s="135"/>
      <c r="H222" s="135"/>
      <c r="I222" s="135"/>
      <c r="J222" s="135"/>
      <c r="K222" s="135"/>
    </row>
    <row r="223" spans="5:11">
      <c r="E223" s="135"/>
      <c r="F223" s="135"/>
      <c r="G223" s="135"/>
      <c r="H223" s="135"/>
      <c r="I223" s="135"/>
      <c r="J223" s="135"/>
      <c r="K223" s="135"/>
    </row>
    <row r="224" spans="5:11">
      <c r="E224" s="135"/>
      <c r="F224" s="135"/>
      <c r="G224" s="135"/>
      <c r="H224" s="135"/>
      <c r="I224" s="135"/>
      <c r="J224" s="135"/>
      <c r="K224" s="135"/>
    </row>
    <row r="225" spans="5:11">
      <c r="E225" s="135"/>
      <c r="F225" s="135"/>
      <c r="G225" s="135"/>
      <c r="H225" s="135"/>
      <c r="I225" s="135"/>
      <c r="J225" s="135"/>
      <c r="K225" s="135"/>
    </row>
    <row r="226" spans="5:11">
      <c r="E226" s="135"/>
      <c r="F226" s="135"/>
      <c r="G226" s="135"/>
      <c r="H226" s="135"/>
      <c r="I226" s="135"/>
      <c r="J226" s="135"/>
      <c r="K226" s="135"/>
    </row>
    <row r="227" spans="5:11">
      <c r="E227" s="135"/>
      <c r="F227" s="135"/>
      <c r="G227" s="135"/>
      <c r="H227" s="135"/>
      <c r="I227" s="135"/>
      <c r="J227" s="135"/>
      <c r="K227" s="135"/>
    </row>
    <row r="228" spans="5:11">
      <c r="E228" s="135"/>
      <c r="F228" s="135"/>
      <c r="G228" s="135"/>
      <c r="H228" s="135"/>
      <c r="I228" s="135"/>
      <c r="J228" s="135"/>
      <c r="K228" s="135"/>
    </row>
    <row r="229" spans="5:11">
      <c r="E229" s="135"/>
      <c r="F229" s="135"/>
      <c r="G229" s="135"/>
      <c r="H229" s="135"/>
      <c r="I229" s="135"/>
      <c r="J229" s="135"/>
      <c r="K229" s="135"/>
    </row>
    <row r="230" spans="5:11">
      <c r="E230" s="135"/>
      <c r="F230" s="135"/>
      <c r="G230" s="135"/>
      <c r="H230" s="135"/>
      <c r="I230" s="135"/>
      <c r="J230" s="135"/>
      <c r="K230" s="135"/>
    </row>
    <row r="231" spans="5:11">
      <c r="E231" s="135"/>
      <c r="F231" s="135"/>
      <c r="G231" s="135"/>
      <c r="H231" s="135"/>
      <c r="I231" s="135"/>
      <c r="J231" s="135"/>
      <c r="K231" s="135"/>
    </row>
    <row r="232" spans="5:11">
      <c r="E232" s="135"/>
      <c r="F232" s="135"/>
      <c r="G232" s="135"/>
      <c r="H232" s="135"/>
      <c r="I232" s="135"/>
      <c r="J232" s="135"/>
      <c r="K232" s="135"/>
    </row>
    <row r="233" spans="5:11">
      <c r="E233" s="135"/>
      <c r="F233" s="135"/>
      <c r="G233" s="135"/>
      <c r="H233" s="135"/>
      <c r="I233" s="135"/>
      <c r="J233" s="135"/>
      <c r="K233" s="135"/>
    </row>
    <row r="234" spans="5:11">
      <c r="E234" s="135"/>
      <c r="F234" s="135"/>
      <c r="G234" s="135"/>
      <c r="H234" s="135"/>
      <c r="I234" s="135"/>
      <c r="J234" s="135"/>
      <c r="K234" s="135"/>
    </row>
    <row r="235" spans="5:11">
      <c r="E235" s="135"/>
      <c r="F235" s="135"/>
      <c r="G235" s="135"/>
      <c r="H235" s="135"/>
      <c r="I235" s="135"/>
      <c r="J235" s="135"/>
      <c r="K235" s="135"/>
    </row>
    <row r="236" spans="5:11">
      <c r="E236" s="135"/>
      <c r="F236" s="135"/>
      <c r="G236" s="135"/>
      <c r="H236" s="135"/>
      <c r="I236" s="135"/>
      <c r="J236" s="135"/>
      <c r="K236" s="135"/>
    </row>
    <row r="237" spans="5:11">
      <c r="E237" s="135"/>
      <c r="F237" s="135"/>
      <c r="G237" s="135"/>
      <c r="H237" s="135"/>
      <c r="I237" s="135"/>
      <c r="J237" s="135"/>
      <c r="K237" s="135"/>
    </row>
    <row r="238" spans="5:11">
      <c r="E238" s="135"/>
      <c r="F238" s="135"/>
      <c r="G238" s="135"/>
      <c r="H238" s="135"/>
      <c r="I238" s="135"/>
      <c r="J238" s="135"/>
      <c r="K238" s="135"/>
    </row>
    <row r="239" spans="5:11">
      <c r="E239" s="135"/>
      <c r="F239" s="135"/>
      <c r="G239" s="135"/>
      <c r="H239" s="135"/>
      <c r="I239" s="135"/>
      <c r="J239" s="135"/>
      <c r="K239" s="135"/>
    </row>
    <row r="240" spans="5:11">
      <c r="E240" s="135"/>
      <c r="F240" s="135"/>
      <c r="G240" s="135"/>
      <c r="H240" s="135"/>
      <c r="I240" s="135"/>
      <c r="J240" s="135"/>
      <c r="K240" s="135"/>
    </row>
    <row r="241" spans="5:11">
      <c r="E241" s="135"/>
      <c r="F241" s="135"/>
      <c r="G241" s="135"/>
      <c r="H241" s="135"/>
      <c r="I241" s="135"/>
      <c r="J241" s="135"/>
      <c r="K241" s="135"/>
    </row>
    <row r="242" spans="5:11">
      <c r="E242" s="135"/>
      <c r="F242" s="135"/>
      <c r="G242" s="135"/>
      <c r="H242" s="135"/>
      <c r="I242" s="135"/>
      <c r="J242" s="135"/>
      <c r="K242" s="135"/>
    </row>
    <row r="243" spans="5:11">
      <c r="E243" s="135"/>
      <c r="F243" s="135"/>
      <c r="G243" s="135"/>
      <c r="H243" s="135"/>
      <c r="I243" s="135"/>
      <c r="J243" s="135"/>
      <c r="K243" s="135"/>
    </row>
    <row r="244" spans="5:11">
      <c r="E244" s="135"/>
      <c r="F244" s="135"/>
      <c r="G244" s="135"/>
      <c r="H244" s="135"/>
      <c r="I244" s="135"/>
      <c r="J244" s="135"/>
      <c r="K244" s="135"/>
    </row>
    <row r="245" spans="5:11">
      <c r="E245" s="135"/>
      <c r="F245" s="135"/>
      <c r="G245" s="135"/>
      <c r="H245" s="135"/>
      <c r="I245" s="135"/>
      <c r="J245" s="135"/>
      <c r="K245" s="135"/>
    </row>
    <row r="246" spans="5:11">
      <c r="E246" s="135"/>
      <c r="F246" s="135"/>
      <c r="G246" s="135"/>
      <c r="H246" s="135"/>
      <c r="I246" s="135"/>
      <c r="J246" s="135"/>
      <c r="K246" s="135"/>
    </row>
    <row r="247" spans="5:11">
      <c r="E247" s="135"/>
      <c r="F247" s="135"/>
      <c r="G247" s="135"/>
      <c r="H247" s="135"/>
      <c r="I247" s="135"/>
      <c r="J247" s="135"/>
      <c r="K247" s="135"/>
    </row>
    <row r="248" spans="5:11">
      <c r="E248" s="135"/>
      <c r="F248" s="135"/>
      <c r="G248" s="135"/>
      <c r="H248" s="135"/>
      <c r="I248" s="135"/>
      <c r="J248" s="135"/>
      <c r="K248" s="135"/>
    </row>
    <row r="249" spans="5:11">
      <c r="E249" s="135"/>
      <c r="F249" s="135"/>
      <c r="G249" s="135"/>
      <c r="H249" s="135"/>
      <c r="I249" s="135"/>
      <c r="J249" s="135"/>
      <c r="K249" s="135"/>
    </row>
    <row r="250" spans="5:11">
      <c r="E250" s="135"/>
      <c r="F250" s="135"/>
      <c r="G250" s="135"/>
      <c r="H250" s="135"/>
      <c r="I250" s="135"/>
      <c r="J250" s="135"/>
      <c r="K250" s="135"/>
    </row>
    <row r="251" spans="5:11">
      <c r="E251" s="135"/>
      <c r="F251" s="135"/>
      <c r="G251" s="135"/>
      <c r="H251" s="135"/>
      <c r="I251" s="135"/>
      <c r="J251" s="135"/>
      <c r="K251" s="135"/>
    </row>
    <row r="252" spans="5:11">
      <c r="E252" s="135"/>
      <c r="F252" s="135"/>
      <c r="G252" s="135"/>
      <c r="H252" s="135"/>
      <c r="I252" s="135"/>
      <c r="J252" s="135"/>
      <c r="K252" s="135"/>
    </row>
    <row r="253" spans="5:11">
      <c r="E253" s="135"/>
      <c r="F253" s="135"/>
      <c r="G253" s="135"/>
      <c r="H253" s="135"/>
      <c r="I253" s="135"/>
      <c r="J253" s="135"/>
      <c r="K253" s="135"/>
    </row>
    <row r="254" spans="5:11">
      <c r="E254" s="135"/>
      <c r="F254" s="135"/>
      <c r="G254" s="135"/>
      <c r="H254" s="135"/>
      <c r="I254" s="135"/>
      <c r="J254" s="135"/>
      <c r="K254" s="135"/>
    </row>
    <row r="255" spans="5:11">
      <c r="E255" s="135"/>
      <c r="F255" s="135"/>
      <c r="G255" s="135"/>
      <c r="H255" s="135"/>
      <c r="I255" s="135"/>
      <c r="J255" s="135"/>
      <c r="K255" s="135"/>
    </row>
  </sheetData>
  <sheetProtection algorithmName="SHA-512" hashValue="ccyQELU3LXbYpVQQ/0hCBPRso+d9B4Y8wloFMURssqjq/pR/Gpe6GsVaZVklzQysvdeqPB680nEzPuv1H2EgNg==" saltValue="RBfBroGWp+0cLpuo/kD6QA==" spinCount="100000" sheet="1" autoFilter="0"/>
  <mergeCells count="1">
    <mergeCell ref="B4:C4"/>
  </mergeCells>
  <pageMargins left="0.25" right="0.25" top="0.75" bottom="0.75" header="0.3" footer="0.3"/>
  <pageSetup scale="42"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5A00DFF-C2AD-49AE-9E30-FD11BF0A9D6E}">
          <x14:formula1>
            <xm:f>Calculations!$F$15:$F$27</xm:f>
          </x14:formula1>
          <xm:sqref>B4:C4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F0043-3CF0-4781-913A-AA6D072C0439}">
  <sheetPr>
    <pageSetUpPr fitToPage="1"/>
  </sheetPr>
  <dimension ref="A1:J37"/>
  <sheetViews>
    <sheetView showGridLines="0" tabSelected="1" view="pageBreakPreview" zoomScale="85" zoomScaleNormal="100" zoomScaleSheetLayoutView="85" workbookViewId="0">
      <selection activeCell="C18" sqref="C18"/>
    </sheetView>
  </sheetViews>
  <sheetFormatPr defaultRowHeight="12.6"/>
  <cols>
    <col min="1" max="1" width="18" bestFit="1" customWidth="1"/>
    <col min="2" max="2" width="32.42578125" bestFit="1" customWidth="1"/>
    <col min="3" max="3" width="26.28515625" bestFit="1" customWidth="1"/>
    <col min="4" max="4" width="24.42578125" bestFit="1" customWidth="1"/>
    <col min="5" max="5" width="12.7109375" style="158" bestFit="1" customWidth="1"/>
    <col min="6" max="6" width="9.42578125" bestFit="1" customWidth="1"/>
    <col min="7" max="7" width="10.42578125" bestFit="1" customWidth="1"/>
    <col min="8" max="8" width="12.140625" bestFit="1" customWidth="1"/>
    <col min="9" max="9" width="16.7109375" bestFit="1" customWidth="1"/>
  </cols>
  <sheetData>
    <row r="1" spans="1:10" s="174" customFormat="1" ht="26.1">
      <c r="A1" s="166" t="s">
        <v>117</v>
      </c>
      <c r="B1" s="166"/>
      <c r="C1" s="166"/>
      <c r="D1" s="166"/>
      <c r="E1" s="167"/>
      <c r="F1" s="167"/>
      <c r="G1" s="166"/>
      <c r="H1" s="166"/>
      <c r="I1" s="168"/>
      <c r="J1" s="173"/>
    </row>
    <row r="2" spans="1:10" s="174" customFormat="1" ht="26.1">
      <c r="A2" s="169" t="str">
        <f>B3</f>
        <v>(All)</v>
      </c>
      <c r="B2" s="166"/>
      <c r="C2" s="166"/>
      <c r="D2" s="166"/>
      <c r="E2" s="167"/>
      <c r="F2" s="167"/>
      <c r="G2" s="166"/>
      <c r="H2" s="166"/>
      <c r="I2" s="168"/>
      <c r="J2" s="173"/>
    </row>
    <row r="3" spans="1:10" ht="44.25" customHeight="1">
      <c r="A3" s="175" t="s">
        <v>118</v>
      </c>
      <c r="B3" s="176" t="s">
        <v>119</v>
      </c>
      <c r="C3" s="170" t="s">
        <v>120</v>
      </c>
      <c r="D3" s="171"/>
      <c r="E3" s="172"/>
      <c r="F3" s="171"/>
      <c r="G3" s="171"/>
      <c r="H3" s="171"/>
      <c r="I3" s="171"/>
    </row>
    <row r="4" spans="1:10" ht="30.75">
      <c r="A4" s="160" t="s">
        <v>121</v>
      </c>
      <c r="B4" s="160" t="s">
        <v>122</v>
      </c>
      <c r="C4" s="160" t="s">
        <v>96</v>
      </c>
      <c r="D4" s="160" t="s">
        <v>123</v>
      </c>
      <c r="E4" s="161" t="s">
        <v>124</v>
      </c>
      <c r="F4" s="162" t="s">
        <v>125</v>
      </c>
      <c r="G4" s="162" t="s">
        <v>126</v>
      </c>
      <c r="H4" s="162" t="s">
        <v>127</v>
      </c>
      <c r="I4" s="161" t="s">
        <v>128</v>
      </c>
    </row>
    <row r="5" spans="1:10" hidden="1">
      <c r="A5" s="156" t="s">
        <v>129</v>
      </c>
      <c r="B5" s="156" t="s">
        <v>122</v>
      </c>
      <c r="C5" s="156" t="s">
        <v>130</v>
      </c>
      <c r="D5" s="156" t="s">
        <v>131</v>
      </c>
      <c r="E5" s="159" t="s">
        <v>124</v>
      </c>
      <c r="F5" t="s">
        <v>132</v>
      </c>
      <c r="G5" t="s">
        <v>133</v>
      </c>
      <c r="H5" t="s">
        <v>134</v>
      </c>
      <c r="I5" t="s">
        <v>135</v>
      </c>
    </row>
    <row r="6" spans="1:10">
      <c r="A6" t="s">
        <v>136</v>
      </c>
      <c r="B6" t="s">
        <v>136</v>
      </c>
      <c r="C6" t="s">
        <v>136</v>
      </c>
      <c r="D6" t="s">
        <v>136</v>
      </c>
      <c r="E6" t="s">
        <v>136</v>
      </c>
      <c r="F6" s="165"/>
      <c r="G6" s="157"/>
      <c r="H6" s="165"/>
      <c r="I6" s="158"/>
    </row>
    <row r="7" spans="1:10">
      <c r="A7" t="s">
        <v>137</v>
      </c>
      <c r="E7"/>
      <c r="F7" s="165"/>
      <c r="G7" s="157"/>
      <c r="H7" s="165"/>
      <c r="I7" s="158"/>
    </row>
    <row r="8" spans="1:10">
      <c r="E8"/>
      <c r="F8" s="165"/>
      <c r="G8" s="157"/>
      <c r="H8" s="165"/>
      <c r="I8" s="158"/>
    </row>
    <row r="9" spans="1:10">
      <c r="A9">
        <v>10211316</v>
      </c>
      <c r="B9" t="s">
        <v>138</v>
      </c>
      <c r="C9" t="s">
        <v>99</v>
      </c>
      <c r="D9" t="s">
        <v>139</v>
      </c>
      <c r="E9">
        <v>121.56</v>
      </c>
      <c r="F9" s="165">
        <v>-3</v>
      </c>
      <c r="G9" s="157">
        <v>34612.5</v>
      </c>
      <c r="H9" s="165">
        <v>-13.5</v>
      </c>
      <c r="I9" s="158">
        <v>-364.67999999999535</v>
      </c>
    </row>
    <row r="10" spans="1:10">
      <c r="C10" t="s">
        <v>99</v>
      </c>
      <c r="D10" t="s">
        <v>139</v>
      </c>
      <c r="E10">
        <v>84</v>
      </c>
      <c r="F10" s="165">
        <v>530</v>
      </c>
      <c r="G10" s="157">
        <v>130598.5</v>
      </c>
      <c r="H10" s="165">
        <v>2385</v>
      </c>
      <c r="I10" s="158">
        <v>44520</v>
      </c>
    </row>
    <row r="11" spans="1:10">
      <c r="C11" t="s">
        <v>99</v>
      </c>
      <c r="D11" t="s">
        <v>139</v>
      </c>
      <c r="E11">
        <v>112.2</v>
      </c>
      <c r="F11" s="165">
        <v>154</v>
      </c>
      <c r="G11" s="157">
        <v>78599</v>
      </c>
      <c r="H11" s="165">
        <v>693</v>
      </c>
      <c r="I11" s="158">
        <v>17278.799999999974</v>
      </c>
    </row>
    <row r="12" spans="1:10">
      <c r="C12" t="s">
        <v>99</v>
      </c>
      <c r="D12" t="s">
        <v>139</v>
      </c>
      <c r="E12">
        <v>125.02</v>
      </c>
      <c r="F12" s="165">
        <v>184</v>
      </c>
      <c r="G12" s="157">
        <v>60381</v>
      </c>
      <c r="H12" s="165">
        <v>828</v>
      </c>
      <c r="I12" s="158">
        <v>23003.680000000051</v>
      </c>
    </row>
    <row r="13" spans="1:10">
      <c r="C13" t="s">
        <v>99</v>
      </c>
      <c r="D13" t="s">
        <v>140</v>
      </c>
      <c r="E13">
        <v>121.56</v>
      </c>
      <c r="F13" s="165">
        <v>3</v>
      </c>
      <c r="G13" s="157">
        <v>0</v>
      </c>
      <c r="H13" s="165">
        <v>13.5</v>
      </c>
      <c r="I13" s="158">
        <v>364.68</v>
      </c>
    </row>
    <row r="14" spans="1:10">
      <c r="C14" t="s">
        <v>99</v>
      </c>
      <c r="D14" t="s">
        <v>140</v>
      </c>
      <c r="E14">
        <v>84</v>
      </c>
      <c r="F14" s="165">
        <v>4</v>
      </c>
      <c r="G14" s="157">
        <v>0</v>
      </c>
      <c r="H14" s="165">
        <v>18</v>
      </c>
      <c r="I14" s="158">
        <v>336</v>
      </c>
    </row>
    <row r="15" spans="1:10">
      <c r="C15" t="s">
        <v>99</v>
      </c>
      <c r="D15" t="s">
        <v>141</v>
      </c>
      <c r="E15">
        <v>84</v>
      </c>
      <c r="F15" s="165">
        <v>4</v>
      </c>
      <c r="G15" s="157">
        <v>0</v>
      </c>
      <c r="H15" s="165">
        <v>18</v>
      </c>
      <c r="I15" s="158">
        <v>336</v>
      </c>
    </row>
    <row r="16" spans="1:10">
      <c r="C16" t="s">
        <v>99</v>
      </c>
      <c r="D16" t="s">
        <v>142</v>
      </c>
      <c r="E16">
        <v>84</v>
      </c>
      <c r="F16" s="165">
        <v>3</v>
      </c>
      <c r="G16" s="157">
        <v>0</v>
      </c>
      <c r="H16" s="165">
        <v>13.5</v>
      </c>
      <c r="I16" s="158">
        <v>252</v>
      </c>
    </row>
    <row r="17" spans="1:9">
      <c r="C17" t="s">
        <v>99</v>
      </c>
      <c r="D17" t="s">
        <v>143</v>
      </c>
      <c r="E17">
        <v>0</v>
      </c>
      <c r="F17" s="165">
        <v>1</v>
      </c>
      <c r="G17" s="157">
        <v>0</v>
      </c>
      <c r="H17" s="165">
        <v>0</v>
      </c>
      <c r="I17" s="158">
        <v>0</v>
      </c>
    </row>
    <row r="18" spans="1:9">
      <c r="C18" t="s">
        <v>107</v>
      </c>
      <c r="D18" t="s">
        <v>144</v>
      </c>
      <c r="E18">
        <v>15</v>
      </c>
      <c r="F18" s="165">
        <v>0</v>
      </c>
      <c r="G18" s="157">
        <v>0</v>
      </c>
      <c r="H18" s="165">
        <v>0</v>
      </c>
      <c r="I18" s="158">
        <v>0</v>
      </c>
    </row>
    <row r="19" spans="1:9">
      <c r="A19" t="s">
        <v>145</v>
      </c>
      <c r="E19"/>
      <c r="F19" s="165">
        <v>880</v>
      </c>
      <c r="G19" s="157">
        <v>304191</v>
      </c>
      <c r="H19" s="165">
        <v>3955.5</v>
      </c>
      <c r="I19" s="158">
        <v>85726.480000000025</v>
      </c>
    </row>
    <row r="20" spans="1:9">
      <c r="E20"/>
      <c r="F20" s="165"/>
      <c r="G20" s="157"/>
      <c r="H20" s="165"/>
      <c r="I20" s="158"/>
    </row>
    <row r="21" spans="1:9">
      <c r="A21">
        <v>10239765</v>
      </c>
      <c r="B21" t="s">
        <v>138</v>
      </c>
      <c r="C21" t="s">
        <v>99</v>
      </c>
      <c r="D21" t="s">
        <v>146</v>
      </c>
      <c r="E21">
        <v>150</v>
      </c>
      <c r="F21" s="165">
        <v>5</v>
      </c>
      <c r="G21" s="157">
        <v>0</v>
      </c>
      <c r="H21" s="165">
        <v>0</v>
      </c>
      <c r="I21" s="158">
        <v>750</v>
      </c>
    </row>
    <row r="22" spans="1:9">
      <c r="C22" t="s">
        <v>99</v>
      </c>
      <c r="D22" t="s">
        <v>146</v>
      </c>
      <c r="E22">
        <v>108.4</v>
      </c>
      <c r="F22" s="165">
        <v>1</v>
      </c>
      <c r="G22" s="157">
        <v>0</v>
      </c>
      <c r="H22" s="165">
        <v>0</v>
      </c>
      <c r="I22" s="158">
        <v>108.4</v>
      </c>
    </row>
    <row r="23" spans="1:9">
      <c r="C23" t="s">
        <v>99</v>
      </c>
      <c r="D23" t="s">
        <v>146</v>
      </c>
      <c r="E23">
        <v>138.30000000000001</v>
      </c>
      <c r="F23" s="165">
        <v>1</v>
      </c>
      <c r="G23" s="157">
        <v>0</v>
      </c>
      <c r="H23" s="165">
        <v>0</v>
      </c>
      <c r="I23" s="158">
        <v>138.30000000000001</v>
      </c>
    </row>
    <row r="24" spans="1:9">
      <c r="C24" t="s">
        <v>107</v>
      </c>
      <c r="D24" t="s">
        <v>146</v>
      </c>
      <c r="E24">
        <v>150</v>
      </c>
      <c r="F24" s="165">
        <v>-5</v>
      </c>
      <c r="G24" s="157">
        <v>0</v>
      </c>
      <c r="H24" s="165">
        <v>0</v>
      </c>
      <c r="I24" s="158">
        <v>-750</v>
      </c>
    </row>
    <row r="25" spans="1:9">
      <c r="C25" t="s">
        <v>107</v>
      </c>
      <c r="D25" t="s">
        <v>146</v>
      </c>
      <c r="E25">
        <v>108.4</v>
      </c>
      <c r="F25" s="165">
        <v>-1</v>
      </c>
      <c r="G25" s="157">
        <v>0</v>
      </c>
      <c r="H25" s="165">
        <v>0</v>
      </c>
      <c r="I25" s="158">
        <v>-108.4</v>
      </c>
    </row>
    <row r="26" spans="1:9">
      <c r="C26" t="s">
        <v>107</v>
      </c>
      <c r="D26" t="s">
        <v>146</v>
      </c>
      <c r="E26">
        <v>138.30000000000001</v>
      </c>
      <c r="F26" s="165">
        <v>-1</v>
      </c>
      <c r="G26" s="157">
        <v>0</v>
      </c>
      <c r="H26" s="165">
        <v>0</v>
      </c>
      <c r="I26" s="158">
        <v>-138.30000000000001</v>
      </c>
    </row>
    <row r="27" spans="1:9">
      <c r="A27" t="s">
        <v>147</v>
      </c>
      <c r="E27"/>
      <c r="F27" s="165">
        <v>0</v>
      </c>
      <c r="G27" s="157">
        <v>0</v>
      </c>
      <c r="H27" s="165">
        <v>0</v>
      </c>
      <c r="I27" s="158">
        <v>0</v>
      </c>
    </row>
    <row r="28" spans="1:9">
      <c r="E28"/>
      <c r="F28" s="165"/>
      <c r="G28" s="157"/>
      <c r="H28" s="165"/>
      <c r="I28" s="158"/>
    </row>
    <row r="29" spans="1:9">
      <c r="A29">
        <v>10254159</v>
      </c>
      <c r="B29" t="s">
        <v>148</v>
      </c>
      <c r="C29" t="s">
        <v>99</v>
      </c>
      <c r="D29" t="s">
        <v>149</v>
      </c>
      <c r="E29">
        <v>116.21</v>
      </c>
      <c r="F29" s="165">
        <v>0</v>
      </c>
      <c r="G29" s="157">
        <v>752</v>
      </c>
      <c r="H29" s="165">
        <v>0</v>
      </c>
      <c r="I29" s="158">
        <v>0</v>
      </c>
    </row>
    <row r="30" spans="1:9">
      <c r="C30" t="s">
        <v>99</v>
      </c>
      <c r="D30" t="s">
        <v>149</v>
      </c>
      <c r="E30">
        <v>78</v>
      </c>
      <c r="F30" s="165">
        <v>9</v>
      </c>
      <c r="G30" s="157">
        <v>1467</v>
      </c>
      <c r="H30" s="165">
        <v>27</v>
      </c>
      <c r="I30" s="158">
        <v>702</v>
      </c>
    </row>
    <row r="31" spans="1:9">
      <c r="C31" t="s">
        <v>99</v>
      </c>
      <c r="D31" t="s">
        <v>149</v>
      </c>
      <c r="E31">
        <v>85.53</v>
      </c>
      <c r="F31" s="165">
        <v>2</v>
      </c>
      <c r="G31" s="157">
        <v>586</v>
      </c>
      <c r="H31" s="165">
        <v>6</v>
      </c>
      <c r="I31" s="158">
        <v>171.06</v>
      </c>
    </row>
    <row r="32" spans="1:9">
      <c r="C32" t="s">
        <v>99</v>
      </c>
      <c r="D32" t="s">
        <v>149</v>
      </c>
      <c r="E32">
        <v>98.5</v>
      </c>
      <c r="F32" s="165">
        <v>1</v>
      </c>
      <c r="G32" s="157">
        <v>250</v>
      </c>
      <c r="H32" s="165">
        <v>3</v>
      </c>
      <c r="I32" s="158">
        <v>98.5</v>
      </c>
    </row>
    <row r="33" spans="1:9">
      <c r="C33" t="s">
        <v>99</v>
      </c>
      <c r="D33" t="s">
        <v>150</v>
      </c>
      <c r="E33">
        <v>8.6</v>
      </c>
      <c r="F33" s="165">
        <v>5</v>
      </c>
      <c r="G33" s="157">
        <v>0</v>
      </c>
      <c r="H33" s="165">
        <v>0</v>
      </c>
      <c r="I33" s="158">
        <v>43</v>
      </c>
    </row>
    <row r="34" spans="1:9">
      <c r="A34" t="s">
        <v>151</v>
      </c>
      <c r="E34"/>
      <c r="F34" s="165">
        <v>17</v>
      </c>
      <c r="G34" s="157">
        <v>3055</v>
      </c>
      <c r="H34" s="165">
        <v>36</v>
      </c>
      <c r="I34" s="158">
        <v>1014.56</v>
      </c>
    </row>
    <row r="35" spans="1:9">
      <c r="E35"/>
      <c r="F35" s="165"/>
      <c r="G35" s="157"/>
      <c r="H35" s="165"/>
      <c r="I35" s="158"/>
    </row>
    <row r="36" spans="1:9">
      <c r="A36" s="158" t="s">
        <v>152</v>
      </c>
      <c r="B36" s="158"/>
      <c r="C36" s="158"/>
      <c r="D36" s="158"/>
      <c r="F36" s="165">
        <v>897</v>
      </c>
      <c r="G36" s="157">
        <v>307246</v>
      </c>
      <c r="H36" s="165">
        <v>3991.5</v>
      </c>
      <c r="I36" s="158">
        <v>86741.040000000023</v>
      </c>
    </row>
    <row r="37" spans="1:9">
      <c r="E37"/>
    </row>
  </sheetData>
  <pageMargins left="0.70866141732283472" right="0.70866141732283472" top="0.74803149606299213" bottom="0.74803149606299213" header="0.31496062992125984" footer="0.31496062992125984"/>
  <pageSetup scale="56"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E6426-5845-4844-821C-34E62B58E31E}">
  <sheetPr codeName="Sheet6">
    <tabColor theme="3" tint="0.79998168889431442"/>
  </sheetPr>
  <dimension ref="A1:L1800"/>
  <sheetViews>
    <sheetView showGridLines="0" view="pageBreakPreview" zoomScale="95" zoomScaleNormal="100" zoomScaleSheetLayoutView="95" workbookViewId="0">
      <pane ySplit="3" topLeftCell="A4" activePane="bottomLeft" state="frozen"/>
      <selection pane="bottomLeft"/>
      <selection activeCell="I34" sqref="I34"/>
    </sheetView>
  </sheetViews>
  <sheetFormatPr defaultColWidth="9.140625" defaultRowHeight="12.95"/>
  <cols>
    <col min="1" max="1" width="10" style="147" customWidth="1"/>
    <col min="2" max="2" width="9.7109375" style="147" customWidth="1"/>
    <col min="3" max="3" width="36" style="147" bestFit="1" customWidth="1"/>
    <col min="4" max="4" width="18.85546875" style="147" customWidth="1"/>
    <col min="5" max="5" width="18.5703125" style="147" customWidth="1"/>
    <col min="6" max="6" width="12.42578125" style="148" customWidth="1"/>
    <col min="7" max="7" width="24.28515625" style="147" bestFit="1" customWidth="1"/>
    <col min="8" max="8" width="12.5703125" style="149" customWidth="1"/>
    <col min="9" max="9" width="11.140625" style="150" customWidth="1"/>
    <col min="10" max="10" width="8.85546875" style="150" customWidth="1"/>
    <col min="11" max="11" width="12.5703125" style="150" customWidth="1"/>
    <col min="12" max="12" width="12.85546875" style="205" customWidth="1"/>
    <col min="13" max="13" width="9.140625" style="123"/>
    <col min="14" max="14" width="17.42578125" style="123" bestFit="1" customWidth="1"/>
    <col min="15" max="16384" width="9.140625" style="123"/>
  </cols>
  <sheetData>
    <row r="1" spans="1:12" s="80" customFormat="1" ht="41.25" customHeight="1">
      <c r="A1" s="208" t="s">
        <v>117</v>
      </c>
      <c r="B1" s="142"/>
      <c r="C1" s="141"/>
      <c r="D1" s="141"/>
      <c r="E1" s="143"/>
      <c r="F1" s="144"/>
      <c r="G1" s="144"/>
      <c r="L1" s="202"/>
    </row>
    <row r="2" spans="1:12" s="1" customFormat="1" ht="21" customHeight="1">
      <c r="A2" s="238">
        <f>Calculations!B21</f>
        <v>44927</v>
      </c>
      <c r="B2" s="238"/>
      <c r="C2" s="238"/>
      <c r="D2" s="201"/>
      <c r="L2" s="203"/>
    </row>
    <row r="3" spans="1:12" s="124" customFormat="1" ht="39">
      <c r="A3" s="152" t="s">
        <v>118</v>
      </c>
      <c r="B3" s="152" t="s">
        <v>121</v>
      </c>
      <c r="C3" s="152" t="s">
        <v>122</v>
      </c>
      <c r="D3" s="152" t="s">
        <v>153</v>
      </c>
      <c r="E3" s="153" t="s">
        <v>130</v>
      </c>
      <c r="F3" s="154" t="s">
        <v>154</v>
      </c>
      <c r="G3" s="152" t="s">
        <v>131</v>
      </c>
      <c r="H3" s="155" t="s">
        <v>124</v>
      </c>
      <c r="I3" s="151" t="s">
        <v>155</v>
      </c>
      <c r="J3" s="151" t="s">
        <v>156</v>
      </c>
      <c r="K3" s="151" t="s">
        <v>126</v>
      </c>
      <c r="L3" s="204" t="s">
        <v>128</v>
      </c>
    </row>
    <row r="4" spans="1:12">
      <c r="A4" s="147" t="s">
        <v>157</v>
      </c>
      <c r="B4" s="147">
        <v>10211316</v>
      </c>
      <c r="C4" s="147" t="s">
        <v>138</v>
      </c>
      <c r="D4" s="147" t="s">
        <v>158</v>
      </c>
      <c r="E4" s="147" t="s">
        <v>99</v>
      </c>
      <c r="F4" s="148" t="s">
        <v>159</v>
      </c>
      <c r="G4" s="147" t="s">
        <v>140</v>
      </c>
      <c r="H4" s="149">
        <v>121.56</v>
      </c>
      <c r="I4" s="150">
        <v>1</v>
      </c>
      <c r="J4" s="150">
        <v>4.5</v>
      </c>
      <c r="K4" s="150">
        <v>0</v>
      </c>
      <c r="L4" s="149">
        <v>121.56</v>
      </c>
    </row>
    <row r="5" spans="1:12">
      <c r="A5" s="147" t="s">
        <v>157</v>
      </c>
      <c r="B5" s="147">
        <v>10211316</v>
      </c>
      <c r="C5" s="147" t="s">
        <v>138</v>
      </c>
      <c r="D5" s="147" t="s">
        <v>158</v>
      </c>
      <c r="E5" s="147" t="s">
        <v>99</v>
      </c>
      <c r="F5" s="148" t="s">
        <v>160</v>
      </c>
      <c r="G5" s="147" t="s">
        <v>139</v>
      </c>
      <c r="H5" s="149">
        <v>121.56</v>
      </c>
      <c r="I5" s="150">
        <v>2</v>
      </c>
      <c r="J5" s="150">
        <v>9</v>
      </c>
      <c r="K5" s="150">
        <v>391</v>
      </c>
      <c r="L5" s="149">
        <v>243.12</v>
      </c>
    </row>
    <row r="6" spans="1:12">
      <c r="A6" s="147" t="s">
        <v>157</v>
      </c>
      <c r="B6" s="147">
        <v>10211316</v>
      </c>
      <c r="C6" s="147" t="s">
        <v>138</v>
      </c>
      <c r="D6" s="147" t="s">
        <v>158</v>
      </c>
      <c r="E6" s="147" t="s">
        <v>99</v>
      </c>
      <c r="F6" s="148" t="s">
        <v>161</v>
      </c>
      <c r="G6" s="147" t="s">
        <v>139</v>
      </c>
      <c r="H6" s="149">
        <v>121.56</v>
      </c>
      <c r="I6" s="150">
        <v>2</v>
      </c>
      <c r="J6" s="150">
        <v>9</v>
      </c>
      <c r="K6" s="150">
        <v>261</v>
      </c>
      <c r="L6" s="149">
        <v>243.12</v>
      </c>
    </row>
    <row r="7" spans="1:12">
      <c r="A7" s="147" t="s">
        <v>157</v>
      </c>
      <c r="B7" s="147">
        <v>10211316</v>
      </c>
      <c r="C7" s="147" t="s">
        <v>138</v>
      </c>
      <c r="D7" s="147" t="s">
        <v>158</v>
      </c>
      <c r="E7" s="147" t="s">
        <v>99</v>
      </c>
      <c r="F7" s="148" t="s">
        <v>162</v>
      </c>
      <c r="G7" s="147" t="s">
        <v>139</v>
      </c>
      <c r="H7" s="149">
        <v>121.56</v>
      </c>
      <c r="I7" s="150">
        <v>2</v>
      </c>
      <c r="J7" s="150">
        <v>9</v>
      </c>
      <c r="K7" s="150">
        <v>638</v>
      </c>
      <c r="L7" s="149">
        <v>243.12</v>
      </c>
    </row>
    <row r="8" spans="1:12">
      <c r="A8" s="147" t="s">
        <v>157</v>
      </c>
      <c r="B8" s="147">
        <v>10211316</v>
      </c>
      <c r="C8" s="147" t="s">
        <v>138</v>
      </c>
      <c r="D8" s="147" t="s">
        <v>158</v>
      </c>
      <c r="E8" s="147" t="s">
        <v>99</v>
      </c>
      <c r="F8" s="148" t="s">
        <v>163</v>
      </c>
      <c r="G8" s="147" t="s">
        <v>139</v>
      </c>
      <c r="H8" s="149">
        <v>121.56</v>
      </c>
      <c r="I8" s="150">
        <v>2</v>
      </c>
      <c r="J8" s="150">
        <v>9</v>
      </c>
      <c r="K8" s="150">
        <v>670</v>
      </c>
      <c r="L8" s="149">
        <v>243.12</v>
      </c>
    </row>
    <row r="9" spans="1:12">
      <c r="A9" s="147" t="s">
        <v>157</v>
      </c>
      <c r="B9" s="147">
        <v>10211316</v>
      </c>
      <c r="C9" s="147" t="s">
        <v>138</v>
      </c>
      <c r="D9" s="147" t="s">
        <v>158</v>
      </c>
      <c r="E9" s="147" t="s">
        <v>99</v>
      </c>
      <c r="F9" s="148" t="s">
        <v>164</v>
      </c>
      <c r="G9" s="147" t="s">
        <v>139</v>
      </c>
      <c r="H9" s="149">
        <v>121.56</v>
      </c>
      <c r="I9" s="150">
        <v>2</v>
      </c>
      <c r="J9" s="150">
        <v>9</v>
      </c>
      <c r="K9" s="150">
        <v>670</v>
      </c>
      <c r="L9" s="149">
        <v>243.12</v>
      </c>
    </row>
    <row r="10" spans="1:12">
      <c r="A10" s="147" t="s">
        <v>157</v>
      </c>
      <c r="B10" s="147">
        <v>10211316</v>
      </c>
      <c r="C10" s="147" t="s">
        <v>138</v>
      </c>
      <c r="D10" s="147" t="s">
        <v>158</v>
      </c>
      <c r="E10" s="147" t="s">
        <v>99</v>
      </c>
      <c r="F10" s="148" t="s">
        <v>165</v>
      </c>
      <c r="G10" s="147" t="s">
        <v>139</v>
      </c>
      <c r="H10" s="149">
        <v>121.56</v>
      </c>
      <c r="I10" s="150">
        <v>2</v>
      </c>
      <c r="J10" s="150">
        <v>9</v>
      </c>
      <c r="K10" s="150">
        <v>961</v>
      </c>
      <c r="L10" s="149">
        <v>243.12</v>
      </c>
    </row>
    <row r="11" spans="1:12">
      <c r="A11" s="147" t="s">
        <v>157</v>
      </c>
      <c r="B11" s="147">
        <v>10211316</v>
      </c>
      <c r="C11" s="147" t="s">
        <v>138</v>
      </c>
      <c r="D11" s="147" t="s">
        <v>158</v>
      </c>
      <c r="E11" s="147" t="s">
        <v>99</v>
      </c>
      <c r="F11" s="148" t="s">
        <v>166</v>
      </c>
      <c r="G11" s="147" t="s">
        <v>139</v>
      </c>
      <c r="H11" s="149">
        <v>121.56</v>
      </c>
      <c r="I11" s="150">
        <v>2</v>
      </c>
      <c r="J11" s="150">
        <v>9</v>
      </c>
      <c r="K11" s="150">
        <v>677</v>
      </c>
      <c r="L11" s="149">
        <v>243.12</v>
      </c>
    </row>
    <row r="12" spans="1:12">
      <c r="A12" s="147" t="s">
        <v>157</v>
      </c>
      <c r="B12" s="147">
        <v>10211316</v>
      </c>
      <c r="C12" s="147" t="s">
        <v>138</v>
      </c>
      <c r="D12" s="147" t="s">
        <v>158</v>
      </c>
      <c r="E12" s="147" t="s">
        <v>99</v>
      </c>
      <c r="F12" s="148" t="s">
        <v>167</v>
      </c>
      <c r="G12" s="147" t="s">
        <v>139</v>
      </c>
      <c r="H12" s="149">
        <v>121.56</v>
      </c>
      <c r="I12" s="150">
        <v>2</v>
      </c>
      <c r="J12" s="150">
        <v>9</v>
      </c>
      <c r="K12" s="150">
        <v>422</v>
      </c>
      <c r="L12" s="149">
        <v>243.12</v>
      </c>
    </row>
    <row r="13" spans="1:12">
      <c r="A13" s="147" t="s">
        <v>157</v>
      </c>
      <c r="B13" s="147">
        <v>10211316</v>
      </c>
      <c r="C13" s="147" t="s">
        <v>138</v>
      </c>
      <c r="D13" s="147" t="s">
        <v>158</v>
      </c>
      <c r="E13" s="147" t="s">
        <v>99</v>
      </c>
      <c r="F13" s="148" t="s">
        <v>168</v>
      </c>
      <c r="G13" s="147" t="s">
        <v>139</v>
      </c>
      <c r="H13" s="149">
        <v>121.56</v>
      </c>
      <c r="I13" s="150">
        <v>2</v>
      </c>
      <c r="J13" s="150">
        <v>9</v>
      </c>
      <c r="K13" s="150">
        <v>776</v>
      </c>
      <c r="L13" s="149">
        <v>243.12</v>
      </c>
    </row>
    <row r="14" spans="1:12">
      <c r="A14" s="147" t="s">
        <v>157</v>
      </c>
      <c r="B14" s="147">
        <v>10211316</v>
      </c>
      <c r="C14" s="147" t="s">
        <v>138</v>
      </c>
      <c r="D14" s="147" t="s">
        <v>158</v>
      </c>
      <c r="E14" s="147" t="s">
        <v>99</v>
      </c>
      <c r="F14" s="148" t="s">
        <v>169</v>
      </c>
      <c r="G14" s="147" t="s">
        <v>139</v>
      </c>
      <c r="H14" s="149">
        <v>121.56</v>
      </c>
      <c r="I14" s="150">
        <v>2</v>
      </c>
      <c r="J14" s="150">
        <v>9</v>
      </c>
      <c r="K14" s="150">
        <v>717</v>
      </c>
      <c r="L14" s="149">
        <v>243.12</v>
      </c>
    </row>
    <row r="15" spans="1:12">
      <c r="A15" s="147" t="s">
        <v>157</v>
      </c>
      <c r="B15" s="147">
        <v>10211316</v>
      </c>
      <c r="C15" s="147" t="s">
        <v>138</v>
      </c>
      <c r="D15" s="147" t="s">
        <v>158</v>
      </c>
      <c r="E15" s="147" t="s">
        <v>99</v>
      </c>
      <c r="F15" s="148" t="s">
        <v>170</v>
      </c>
      <c r="G15" s="147" t="s">
        <v>139</v>
      </c>
      <c r="H15" s="149">
        <v>121.56</v>
      </c>
      <c r="I15" s="150">
        <v>2</v>
      </c>
      <c r="J15" s="150">
        <v>9</v>
      </c>
      <c r="K15" s="150">
        <v>577</v>
      </c>
      <c r="L15" s="149">
        <v>243.12</v>
      </c>
    </row>
    <row r="16" spans="1:12">
      <c r="A16" s="147" t="s">
        <v>157</v>
      </c>
      <c r="B16" s="147">
        <v>10211316</v>
      </c>
      <c r="C16" s="147" t="s">
        <v>138</v>
      </c>
      <c r="D16" s="147" t="s">
        <v>158</v>
      </c>
      <c r="E16" s="147" t="s">
        <v>99</v>
      </c>
      <c r="F16" s="148" t="s">
        <v>171</v>
      </c>
      <c r="G16" s="147" t="s">
        <v>139</v>
      </c>
      <c r="H16" s="149">
        <v>121.56</v>
      </c>
      <c r="I16" s="150">
        <v>2</v>
      </c>
      <c r="J16" s="150">
        <v>9</v>
      </c>
      <c r="K16" s="150">
        <v>261</v>
      </c>
      <c r="L16" s="149">
        <v>243.12</v>
      </c>
    </row>
    <row r="17" spans="1:12">
      <c r="A17" s="147" t="s">
        <v>157</v>
      </c>
      <c r="B17" s="147">
        <v>10211316</v>
      </c>
      <c r="C17" s="147" t="s">
        <v>138</v>
      </c>
      <c r="D17" s="147" t="s">
        <v>158</v>
      </c>
      <c r="E17" s="147" t="s">
        <v>99</v>
      </c>
      <c r="F17" s="148" t="s">
        <v>172</v>
      </c>
      <c r="G17" s="147" t="s">
        <v>139</v>
      </c>
      <c r="H17" s="149">
        <v>121.56</v>
      </c>
      <c r="I17" s="150">
        <v>2</v>
      </c>
      <c r="J17" s="150">
        <v>9</v>
      </c>
      <c r="K17" s="150">
        <v>330.5</v>
      </c>
      <c r="L17" s="149">
        <v>243.12</v>
      </c>
    </row>
    <row r="18" spans="1:12">
      <c r="A18" s="147" t="s">
        <v>157</v>
      </c>
      <c r="B18" s="147">
        <v>10211316</v>
      </c>
      <c r="C18" s="147" t="s">
        <v>138</v>
      </c>
      <c r="D18" s="147" t="s">
        <v>158</v>
      </c>
      <c r="E18" s="147" t="s">
        <v>99</v>
      </c>
      <c r="F18" s="148" t="s">
        <v>173</v>
      </c>
      <c r="G18" s="147" t="s">
        <v>139</v>
      </c>
      <c r="H18" s="149">
        <v>121.56</v>
      </c>
      <c r="I18" s="150">
        <v>2</v>
      </c>
      <c r="J18" s="150">
        <v>9</v>
      </c>
      <c r="K18" s="150">
        <v>261</v>
      </c>
      <c r="L18" s="149">
        <v>243.12</v>
      </c>
    </row>
    <row r="19" spans="1:12">
      <c r="A19" s="147" t="s">
        <v>157</v>
      </c>
      <c r="B19" s="147">
        <v>10211316</v>
      </c>
      <c r="C19" s="147" t="s">
        <v>138</v>
      </c>
      <c r="D19" s="147" t="s">
        <v>158</v>
      </c>
      <c r="E19" s="147" t="s">
        <v>99</v>
      </c>
      <c r="F19" s="148" t="s">
        <v>174</v>
      </c>
      <c r="G19" s="147" t="s">
        <v>139</v>
      </c>
      <c r="H19" s="149">
        <v>121.56</v>
      </c>
      <c r="I19" s="150">
        <v>2</v>
      </c>
      <c r="J19" s="150">
        <v>9</v>
      </c>
      <c r="K19" s="150">
        <v>273</v>
      </c>
      <c r="L19" s="149">
        <v>243.12</v>
      </c>
    </row>
    <row r="20" spans="1:12">
      <c r="A20" s="147" t="s">
        <v>157</v>
      </c>
      <c r="B20" s="147">
        <v>10211316</v>
      </c>
      <c r="C20" s="147" t="s">
        <v>138</v>
      </c>
      <c r="D20" s="147" t="s">
        <v>158</v>
      </c>
      <c r="E20" s="147" t="s">
        <v>99</v>
      </c>
      <c r="F20" s="148" t="s">
        <v>175</v>
      </c>
      <c r="G20" s="147" t="s">
        <v>139</v>
      </c>
      <c r="H20" s="149">
        <v>121.56</v>
      </c>
      <c r="I20" s="150">
        <v>2</v>
      </c>
      <c r="J20" s="150">
        <v>9</v>
      </c>
      <c r="K20" s="150">
        <v>261</v>
      </c>
      <c r="L20" s="149">
        <v>243.12</v>
      </c>
    </row>
    <row r="21" spans="1:12">
      <c r="A21" s="147" t="s">
        <v>157</v>
      </c>
      <c r="B21" s="147">
        <v>10211316</v>
      </c>
      <c r="C21" s="147" t="s">
        <v>138</v>
      </c>
      <c r="D21" s="147" t="s">
        <v>158</v>
      </c>
      <c r="E21" s="147" t="s">
        <v>99</v>
      </c>
      <c r="F21" s="148" t="s">
        <v>176</v>
      </c>
      <c r="G21" s="147" t="s">
        <v>139</v>
      </c>
      <c r="H21" s="149">
        <v>121.56</v>
      </c>
      <c r="I21" s="150">
        <v>1</v>
      </c>
      <c r="J21" s="150">
        <v>4.5</v>
      </c>
      <c r="K21" s="150">
        <v>163</v>
      </c>
      <c r="L21" s="149">
        <v>121.56</v>
      </c>
    </row>
    <row r="22" spans="1:12">
      <c r="A22" s="147" t="s">
        <v>157</v>
      </c>
      <c r="B22" s="147">
        <v>10211316</v>
      </c>
      <c r="C22" s="147" t="s">
        <v>138</v>
      </c>
      <c r="D22" s="147" t="s">
        <v>158</v>
      </c>
      <c r="E22" s="147" t="s">
        <v>99</v>
      </c>
      <c r="F22" s="148" t="s">
        <v>177</v>
      </c>
      <c r="G22" s="147" t="s">
        <v>139</v>
      </c>
      <c r="H22" s="149">
        <v>121.56</v>
      </c>
      <c r="I22" s="150">
        <v>2</v>
      </c>
      <c r="J22" s="150">
        <v>9</v>
      </c>
      <c r="K22" s="150">
        <v>777</v>
      </c>
      <c r="L22" s="149">
        <v>243.12</v>
      </c>
    </row>
    <row r="23" spans="1:12">
      <c r="A23" s="147" t="s">
        <v>157</v>
      </c>
      <c r="B23" s="147">
        <v>10211316</v>
      </c>
      <c r="C23" s="147" t="s">
        <v>138</v>
      </c>
      <c r="D23" s="147" t="s">
        <v>158</v>
      </c>
      <c r="E23" s="147" t="s">
        <v>99</v>
      </c>
      <c r="F23" s="148" t="s">
        <v>178</v>
      </c>
      <c r="G23" s="147" t="s">
        <v>139</v>
      </c>
      <c r="H23" s="149">
        <v>121.56</v>
      </c>
      <c r="I23" s="150">
        <v>2</v>
      </c>
      <c r="J23" s="150">
        <v>9</v>
      </c>
      <c r="K23" s="150">
        <v>533</v>
      </c>
      <c r="L23" s="149">
        <v>243.12</v>
      </c>
    </row>
    <row r="24" spans="1:12">
      <c r="A24" s="147" t="s">
        <v>157</v>
      </c>
      <c r="B24" s="147">
        <v>10211316</v>
      </c>
      <c r="C24" s="147" t="s">
        <v>138</v>
      </c>
      <c r="D24" s="147" t="s">
        <v>158</v>
      </c>
      <c r="E24" s="147" t="s">
        <v>99</v>
      </c>
      <c r="F24" s="148" t="s">
        <v>179</v>
      </c>
      <c r="G24" s="147" t="s">
        <v>139</v>
      </c>
      <c r="H24" s="149">
        <v>121.56</v>
      </c>
      <c r="I24" s="150">
        <v>2</v>
      </c>
      <c r="J24" s="150">
        <v>9</v>
      </c>
      <c r="K24" s="150">
        <v>625</v>
      </c>
      <c r="L24" s="149">
        <v>243.12</v>
      </c>
    </row>
    <row r="25" spans="1:12">
      <c r="A25" s="147" t="s">
        <v>157</v>
      </c>
      <c r="B25" s="147">
        <v>10239765</v>
      </c>
      <c r="C25" s="147" t="s">
        <v>138</v>
      </c>
      <c r="D25" s="147" t="s">
        <v>158</v>
      </c>
      <c r="E25" s="147" t="s">
        <v>99</v>
      </c>
      <c r="F25" s="148" t="s">
        <v>179</v>
      </c>
      <c r="G25" s="147" t="s">
        <v>146</v>
      </c>
      <c r="H25" s="149">
        <v>150</v>
      </c>
      <c r="I25" s="150">
        <v>1</v>
      </c>
      <c r="J25" s="150">
        <v>0</v>
      </c>
      <c r="K25" s="150">
        <v>0</v>
      </c>
      <c r="L25" s="149">
        <v>150</v>
      </c>
    </row>
    <row r="26" spans="1:12">
      <c r="A26" s="147" t="s">
        <v>157</v>
      </c>
      <c r="B26" s="147">
        <v>10254159</v>
      </c>
      <c r="C26" s="147" t="s">
        <v>148</v>
      </c>
      <c r="D26" s="147" t="s">
        <v>158</v>
      </c>
      <c r="E26" s="147" t="s">
        <v>99</v>
      </c>
      <c r="F26" s="148" t="s">
        <v>159</v>
      </c>
      <c r="G26" s="147" t="s">
        <v>149</v>
      </c>
      <c r="H26" s="149">
        <v>116.21</v>
      </c>
      <c r="I26" s="150">
        <v>1</v>
      </c>
      <c r="J26" s="150">
        <v>3</v>
      </c>
      <c r="K26" s="150">
        <v>194</v>
      </c>
      <c r="L26" s="149">
        <v>116.21</v>
      </c>
    </row>
    <row r="27" spans="1:12">
      <c r="A27" s="147" t="s">
        <v>157</v>
      </c>
      <c r="B27" s="147">
        <v>10254159</v>
      </c>
      <c r="C27" s="147" t="s">
        <v>148</v>
      </c>
      <c r="D27" s="147" t="s">
        <v>158</v>
      </c>
      <c r="E27" s="147" t="s">
        <v>99</v>
      </c>
      <c r="F27" s="148" t="s">
        <v>180</v>
      </c>
      <c r="G27" s="147" t="s">
        <v>149</v>
      </c>
      <c r="H27" s="149">
        <v>116.21</v>
      </c>
      <c r="I27" s="150">
        <v>1</v>
      </c>
      <c r="J27" s="150">
        <v>3</v>
      </c>
      <c r="K27" s="150">
        <v>231</v>
      </c>
      <c r="L27" s="149">
        <v>116.21</v>
      </c>
    </row>
    <row r="28" spans="1:12">
      <c r="A28" s="147" t="s">
        <v>157</v>
      </c>
      <c r="B28" s="147">
        <v>10254159</v>
      </c>
      <c r="C28" s="147" t="s">
        <v>148</v>
      </c>
      <c r="D28" s="147" t="s">
        <v>158</v>
      </c>
      <c r="E28" s="147" t="s">
        <v>99</v>
      </c>
      <c r="F28" s="148" t="s">
        <v>181</v>
      </c>
      <c r="G28" s="147" t="s">
        <v>149</v>
      </c>
      <c r="H28" s="149">
        <v>116.21</v>
      </c>
      <c r="I28" s="150">
        <v>1</v>
      </c>
      <c r="J28" s="150">
        <v>3</v>
      </c>
      <c r="K28" s="150">
        <v>327</v>
      </c>
      <c r="L28" s="149">
        <v>116.21</v>
      </c>
    </row>
    <row r="29" spans="1:12">
      <c r="A29" s="147" t="s">
        <v>157</v>
      </c>
      <c r="B29" s="147">
        <v>10254159</v>
      </c>
      <c r="C29" s="147" t="s">
        <v>148</v>
      </c>
      <c r="D29" s="147" t="s">
        <v>158</v>
      </c>
      <c r="E29" s="147" t="s">
        <v>99</v>
      </c>
      <c r="F29" s="148" t="s">
        <v>170</v>
      </c>
      <c r="G29" s="147" t="s">
        <v>149</v>
      </c>
      <c r="H29" s="149">
        <v>78</v>
      </c>
      <c r="I29" s="150">
        <v>1</v>
      </c>
      <c r="J29" s="150">
        <v>3</v>
      </c>
      <c r="K29" s="150">
        <v>269</v>
      </c>
      <c r="L29" s="149">
        <v>78</v>
      </c>
    </row>
    <row r="30" spans="1:12">
      <c r="A30" s="147" t="s">
        <v>157</v>
      </c>
      <c r="B30" s="147">
        <v>10254159</v>
      </c>
      <c r="C30" s="147" t="s">
        <v>148</v>
      </c>
      <c r="D30" s="147" t="s">
        <v>158</v>
      </c>
      <c r="E30" s="147" t="s">
        <v>99</v>
      </c>
      <c r="F30" s="148" t="s">
        <v>173</v>
      </c>
      <c r="G30" s="147" t="s">
        <v>149</v>
      </c>
      <c r="H30" s="149">
        <v>78</v>
      </c>
      <c r="I30" s="150">
        <v>1</v>
      </c>
      <c r="J30" s="150">
        <v>3</v>
      </c>
      <c r="K30" s="150">
        <v>284</v>
      </c>
      <c r="L30" s="149">
        <v>78</v>
      </c>
    </row>
    <row r="31" spans="1:12">
      <c r="A31" s="147" t="s">
        <v>157</v>
      </c>
      <c r="B31" s="147">
        <v>10254159</v>
      </c>
      <c r="C31" s="147" t="s">
        <v>148</v>
      </c>
      <c r="D31" s="147" t="s">
        <v>158</v>
      </c>
      <c r="E31" s="147" t="s">
        <v>99</v>
      </c>
      <c r="F31" s="148" t="s">
        <v>181</v>
      </c>
      <c r="G31" s="147" t="s">
        <v>150</v>
      </c>
      <c r="H31" s="149">
        <v>8.6</v>
      </c>
      <c r="I31" s="150">
        <v>4</v>
      </c>
      <c r="J31" s="150">
        <v>0</v>
      </c>
      <c r="K31" s="150">
        <v>0</v>
      </c>
      <c r="L31" s="149">
        <v>34.4</v>
      </c>
    </row>
    <row r="32" spans="1:12">
      <c r="A32" s="147" t="s">
        <v>157</v>
      </c>
      <c r="B32" s="147">
        <v>10254159</v>
      </c>
      <c r="C32" s="147" t="s">
        <v>148</v>
      </c>
      <c r="D32" s="147" t="s">
        <v>158</v>
      </c>
      <c r="E32" s="147" t="s">
        <v>99</v>
      </c>
      <c r="F32" s="148" t="s">
        <v>170</v>
      </c>
      <c r="G32" s="147" t="s">
        <v>150</v>
      </c>
      <c r="H32" s="149">
        <v>8.6</v>
      </c>
      <c r="I32" s="150">
        <v>1</v>
      </c>
      <c r="J32" s="150">
        <v>0</v>
      </c>
      <c r="K32" s="150">
        <v>0</v>
      </c>
      <c r="L32" s="149">
        <v>8.6</v>
      </c>
    </row>
    <row r="33" spans="1:12">
      <c r="A33" s="147" t="s">
        <v>182</v>
      </c>
      <c r="B33" s="147">
        <v>10211316</v>
      </c>
      <c r="C33" s="147" t="s">
        <v>138</v>
      </c>
      <c r="D33" s="147" t="s">
        <v>158</v>
      </c>
      <c r="E33" s="147" t="s">
        <v>99</v>
      </c>
      <c r="F33" s="148" t="s">
        <v>183</v>
      </c>
      <c r="G33" s="147" t="s">
        <v>140</v>
      </c>
      <c r="H33" s="149">
        <v>121.56</v>
      </c>
      <c r="I33" s="150">
        <v>1</v>
      </c>
      <c r="J33" s="150">
        <v>4.5</v>
      </c>
      <c r="K33" s="150">
        <v>0</v>
      </c>
      <c r="L33" s="149">
        <v>121.56</v>
      </c>
    </row>
    <row r="34" spans="1:12">
      <c r="A34" s="147" t="s">
        <v>182</v>
      </c>
      <c r="B34" s="147">
        <v>10211316</v>
      </c>
      <c r="C34" s="147" t="s">
        <v>138</v>
      </c>
      <c r="D34" s="147" t="s">
        <v>158</v>
      </c>
      <c r="E34" s="147" t="s">
        <v>99</v>
      </c>
      <c r="F34" s="148" t="s">
        <v>184</v>
      </c>
      <c r="G34" s="147" t="s">
        <v>139</v>
      </c>
      <c r="H34" s="149">
        <v>121.56</v>
      </c>
      <c r="I34" s="150">
        <v>2</v>
      </c>
      <c r="J34" s="150">
        <v>9</v>
      </c>
      <c r="K34" s="150">
        <v>580</v>
      </c>
      <c r="L34" s="149">
        <v>243.12</v>
      </c>
    </row>
    <row r="35" spans="1:12">
      <c r="A35" s="147" t="s">
        <v>182</v>
      </c>
      <c r="B35" s="147">
        <v>10211316</v>
      </c>
      <c r="C35" s="147" t="s">
        <v>138</v>
      </c>
      <c r="D35" s="147" t="s">
        <v>158</v>
      </c>
      <c r="E35" s="147" t="s">
        <v>99</v>
      </c>
      <c r="F35" s="148" t="s">
        <v>185</v>
      </c>
      <c r="G35" s="147" t="s">
        <v>139</v>
      </c>
      <c r="H35" s="149">
        <v>121.56</v>
      </c>
      <c r="I35" s="150">
        <v>2</v>
      </c>
      <c r="J35" s="150">
        <v>9</v>
      </c>
      <c r="K35" s="150">
        <v>654</v>
      </c>
      <c r="L35" s="149">
        <v>243.12</v>
      </c>
    </row>
    <row r="36" spans="1:12">
      <c r="A36" s="147" t="s">
        <v>182</v>
      </c>
      <c r="B36" s="147">
        <v>10211316</v>
      </c>
      <c r="C36" s="147" t="s">
        <v>138</v>
      </c>
      <c r="D36" s="147" t="s">
        <v>158</v>
      </c>
      <c r="E36" s="147" t="s">
        <v>99</v>
      </c>
      <c r="F36" s="148" t="s">
        <v>186</v>
      </c>
      <c r="G36" s="147" t="s">
        <v>139</v>
      </c>
      <c r="H36" s="149">
        <v>121.56</v>
      </c>
      <c r="I36" s="150">
        <v>2</v>
      </c>
      <c r="J36" s="150">
        <v>9</v>
      </c>
      <c r="K36" s="150">
        <v>648</v>
      </c>
      <c r="L36" s="149">
        <v>243.12</v>
      </c>
    </row>
    <row r="37" spans="1:12">
      <c r="A37" s="147" t="s">
        <v>182</v>
      </c>
      <c r="B37" s="147">
        <v>10211316</v>
      </c>
      <c r="C37" s="147" t="s">
        <v>138</v>
      </c>
      <c r="D37" s="147" t="s">
        <v>158</v>
      </c>
      <c r="E37" s="147" t="s">
        <v>99</v>
      </c>
      <c r="F37" s="148" t="s">
        <v>187</v>
      </c>
      <c r="G37" s="147" t="s">
        <v>139</v>
      </c>
      <c r="H37" s="149">
        <v>121.56</v>
      </c>
      <c r="I37" s="150">
        <v>2</v>
      </c>
      <c r="J37" s="150">
        <v>9</v>
      </c>
      <c r="K37" s="150">
        <v>798</v>
      </c>
      <c r="L37" s="149">
        <v>243.12</v>
      </c>
    </row>
    <row r="38" spans="1:12">
      <c r="A38" s="147" t="s">
        <v>182</v>
      </c>
      <c r="B38" s="147">
        <v>10211316</v>
      </c>
      <c r="C38" s="147" t="s">
        <v>138</v>
      </c>
      <c r="D38" s="147" t="s">
        <v>158</v>
      </c>
      <c r="E38" s="147" t="s">
        <v>99</v>
      </c>
      <c r="F38" s="148" t="s">
        <v>188</v>
      </c>
      <c r="G38" s="147" t="s">
        <v>139</v>
      </c>
      <c r="H38" s="149">
        <v>121.56</v>
      </c>
      <c r="I38" s="150">
        <v>2</v>
      </c>
      <c r="J38" s="150">
        <v>9</v>
      </c>
      <c r="K38" s="150">
        <v>759</v>
      </c>
      <c r="L38" s="149">
        <v>243.12</v>
      </c>
    </row>
    <row r="39" spans="1:12">
      <c r="A39" s="147" t="s">
        <v>182</v>
      </c>
      <c r="B39" s="147">
        <v>10211316</v>
      </c>
      <c r="C39" s="147" t="s">
        <v>138</v>
      </c>
      <c r="D39" s="147" t="s">
        <v>158</v>
      </c>
      <c r="E39" s="147" t="s">
        <v>99</v>
      </c>
      <c r="F39" s="148" t="s">
        <v>189</v>
      </c>
      <c r="G39" s="147" t="s">
        <v>139</v>
      </c>
      <c r="H39" s="149">
        <v>121.56</v>
      </c>
      <c r="I39" s="150">
        <v>2</v>
      </c>
      <c r="J39" s="150">
        <v>9</v>
      </c>
      <c r="K39" s="150">
        <v>543</v>
      </c>
      <c r="L39" s="149">
        <v>243.12</v>
      </c>
    </row>
    <row r="40" spans="1:12">
      <c r="A40" s="147" t="s">
        <v>182</v>
      </c>
      <c r="B40" s="147">
        <v>10211316</v>
      </c>
      <c r="C40" s="147" t="s">
        <v>138</v>
      </c>
      <c r="D40" s="147" t="s">
        <v>158</v>
      </c>
      <c r="E40" s="147" t="s">
        <v>99</v>
      </c>
      <c r="F40" s="148" t="s">
        <v>190</v>
      </c>
      <c r="G40" s="147" t="s">
        <v>139</v>
      </c>
      <c r="H40" s="149">
        <v>121.56</v>
      </c>
      <c r="I40" s="150">
        <v>2</v>
      </c>
      <c r="J40" s="150">
        <v>9</v>
      </c>
      <c r="K40" s="150">
        <v>733</v>
      </c>
      <c r="L40" s="149">
        <v>243.12</v>
      </c>
    </row>
    <row r="41" spans="1:12">
      <c r="A41" s="147" t="s">
        <v>182</v>
      </c>
      <c r="B41" s="147">
        <v>10211316</v>
      </c>
      <c r="C41" s="147" t="s">
        <v>138</v>
      </c>
      <c r="D41" s="147" t="s">
        <v>158</v>
      </c>
      <c r="E41" s="147" t="s">
        <v>99</v>
      </c>
      <c r="F41" s="148" t="s">
        <v>191</v>
      </c>
      <c r="G41" s="147" t="s">
        <v>139</v>
      </c>
      <c r="H41" s="149">
        <v>121.56</v>
      </c>
      <c r="I41" s="150">
        <v>2</v>
      </c>
      <c r="J41" s="150">
        <v>9</v>
      </c>
      <c r="K41" s="150">
        <v>301.5</v>
      </c>
      <c r="L41" s="149">
        <v>243.12</v>
      </c>
    </row>
    <row r="42" spans="1:12">
      <c r="A42" s="147" t="s">
        <v>182</v>
      </c>
      <c r="B42" s="147">
        <v>10211316</v>
      </c>
      <c r="C42" s="147" t="s">
        <v>138</v>
      </c>
      <c r="D42" s="147" t="s">
        <v>158</v>
      </c>
      <c r="E42" s="147" t="s">
        <v>99</v>
      </c>
      <c r="F42" s="148" t="s">
        <v>192</v>
      </c>
      <c r="G42" s="147" t="s">
        <v>139</v>
      </c>
      <c r="H42" s="149">
        <v>121.56</v>
      </c>
      <c r="I42" s="150">
        <v>2</v>
      </c>
      <c r="J42" s="150">
        <v>9</v>
      </c>
      <c r="K42" s="150">
        <v>767</v>
      </c>
      <c r="L42" s="149">
        <v>243.12</v>
      </c>
    </row>
    <row r="43" spans="1:12">
      <c r="A43" s="147" t="s">
        <v>182</v>
      </c>
      <c r="B43" s="147">
        <v>10211316</v>
      </c>
      <c r="C43" s="147" t="s">
        <v>138</v>
      </c>
      <c r="D43" s="147" t="s">
        <v>158</v>
      </c>
      <c r="E43" s="147" t="s">
        <v>99</v>
      </c>
      <c r="F43" s="148" t="s">
        <v>193</v>
      </c>
      <c r="G43" s="147" t="s">
        <v>139</v>
      </c>
      <c r="H43" s="149">
        <v>121.56</v>
      </c>
      <c r="I43" s="150">
        <v>2</v>
      </c>
      <c r="J43" s="150">
        <v>9</v>
      </c>
      <c r="K43" s="150">
        <v>405</v>
      </c>
      <c r="L43" s="149">
        <v>243.12</v>
      </c>
    </row>
    <row r="44" spans="1:12">
      <c r="A44" s="147" t="s">
        <v>182</v>
      </c>
      <c r="B44" s="147">
        <v>10211316</v>
      </c>
      <c r="C44" s="147" t="s">
        <v>138</v>
      </c>
      <c r="D44" s="147" t="s">
        <v>158</v>
      </c>
      <c r="E44" s="147" t="s">
        <v>99</v>
      </c>
      <c r="F44" s="148" t="s">
        <v>194</v>
      </c>
      <c r="G44" s="147" t="s">
        <v>139</v>
      </c>
      <c r="H44" s="149">
        <v>121.56</v>
      </c>
      <c r="I44" s="150">
        <v>2</v>
      </c>
      <c r="J44" s="150">
        <v>9</v>
      </c>
      <c r="K44" s="150">
        <v>261</v>
      </c>
      <c r="L44" s="149">
        <v>243.12</v>
      </c>
    </row>
    <row r="45" spans="1:12">
      <c r="A45" s="147" t="s">
        <v>182</v>
      </c>
      <c r="B45" s="147">
        <v>10211316</v>
      </c>
      <c r="C45" s="147" t="s">
        <v>138</v>
      </c>
      <c r="D45" s="147" t="s">
        <v>158</v>
      </c>
      <c r="E45" s="147" t="s">
        <v>99</v>
      </c>
      <c r="F45" s="148" t="s">
        <v>195</v>
      </c>
      <c r="G45" s="147" t="s">
        <v>139</v>
      </c>
      <c r="H45" s="149">
        <v>121.56</v>
      </c>
      <c r="I45" s="150">
        <v>2</v>
      </c>
      <c r="J45" s="150">
        <v>9</v>
      </c>
      <c r="K45" s="150">
        <v>273.5</v>
      </c>
      <c r="L45" s="149">
        <v>243.12</v>
      </c>
    </row>
    <row r="46" spans="1:12">
      <c r="A46" s="147" t="s">
        <v>182</v>
      </c>
      <c r="B46" s="147">
        <v>10211316</v>
      </c>
      <c r="C46" s="147" t="s">
        <v>138</v>
      </c>
      <c r="D46" s="147" t="s">
        <v>158</v>
      </c>
      <c r="E46" s="147" t="s">
        <v>99</v>
      </c>
      <c r="F46" s="148" t="s">
        <v>196</v>
      </c>
      <c r="G46" s="147" t="s">
        <v>139</v>
      </c>
      <c r="H46" s="149">
        <v>121.56</v>
      </c>
      <c r="I46" s="150">
        <v>2</v>
      </c>
      <c r="J46" s="150">
        <v>9</v>
      </c>
      <c r="K46" s="150">
        <v>592</v>
      </c>
      <c r="L46" s="149">
        <v>243.12</v>
      </c>
    </row>
    <row r="47" spans="1:12">
      <c r="A47" s="147" t="s">
        <v>182</v>
      </c>
      <c r="B47" s="147">
        <v>10211316</v>
      </c>
      <c r="C47" s="147" t="s">
        <v>138</v>
      </c>
      <c r="D47" s="147" t="s">
        <v>158</v>
      </c>
      <c r="E47" s="147" t="s">
        <v>99</v>
      </c>
      <c r="F47" s="148" t="s">
        <v>197</v>
      </c>
      <c r="G47" s="147" t="s">
        <v>139</v>
      </c>
      <c r="H47" s="149">
        <v>121.56</v>
      </c>
      <c r="I47" s="150">
        <v>2</v>
      </c>
      <c r="J47" s="150">
        <v>9</v>
      </c>
      <c r="K47" s="150">
        <v>555</v>
      </c>
      <c r="L47" s="149">
        <v>243.12</v>
      </c>
    </row>
    <row r="48" spans="1:12">
      <c r="A48" s="147" t="s">
        <v>182</v>
      </c>
      <c r="B48" s="147">
        <v>10211316</v>
      </c>
      <c r="C48" s="147" t="s">
        <v>138</v>
      </c>
      <c r="D48" s="147" t="s">
        <v>158</v>
      </c>
      <c r="E48" s="147" t="s">
        <v>99</v>
      </c>
      <c r="F48" s="148" t="s">
        <v>198</v>
      </c>
      <c r="G48" s="147" t="s">
        <v>139</v>
      </c>
      <c r="H48" s="149">
        <v>121.56</v>
      </c>
      <c r="I48" s="150">
        <v>2</v>
      </c>
      <c r="J48" s="150">
        <v>9</v>
      </c>
      <c r="K48" s="150">
        <v>710</v>
      </c>
      <c r="L48" s="149">
        <v>243.12</v>
      </c>
    </row>
    <row r="49" spans="1:12">
      <c r="A49" s="147" t="s">
        <v>182</v>
      </c>
      <c r="B49" s="147">
        <v>10211316</v>
      </c>
      <c r="C49" s="147" t="s">
        <v>138</v>
      </c>
      <c r="D49" s="147" t="s">
        <v>158</v>
      </c>
      <c r="E49" s="147" t="s">
        <v>99</v>
      </c>
      <c r="F49" s="148" t="s">
        <v>199</v>
      </c>
      <c r="G49" s="147" t="s">
        <v>139</v>
      </c>
      <c r="H49" s="149">
        <v>121.56</v>
      </c>
      <c r="I49" s="150">
        <v>2</v>
      </c>
      <c r="J49" s="150">
        <v>9</v>
      </c>
      <c r="K49" s="150">
        <v>205.5</v>
      </c>
      <c r="L49" s="149">
        <v>243.12</v>
      </c>
    </row>
    <row r="50" spans="1:12">
      <c r="A50" s="147" t="s">
        <v>182</v>
      </c>
      <c r="B50" s="147">
        <v>10211316</v>
      </c>
      <c r="C50" s="147" t="s">
        <v>138</v>
      </c>
      <c r="D50" s="147" t="s">
        <v>158</v>
      </c>
      <c r="E50" s="147" t="s">
        <v>99</v>
      </c>
      <c r="F50" s="148" t="s">
        <v>200</v>
      </c>
      <c r="G50" s="147" t="s">
        <v>139</v>
      </c>
      <c r="H50" s="149">
        <v>121.56</v>
      </c>
      <c r="I50" s="150">
        <v>2</v>
      </c>
      <c r="J50" s="150">
        <v>9</v>
      </c>
      <c r="K50" s="150">
        <v>679</v>
      </c>
      <c r="L50" s="149">
        <v>243.12</v>
      </c>
    </row>
    <row r="51" spans="1:12">
      <c r="A51" s="147" t="s">
        <v>182</v>
      </c>
      <c r="B51" s="147">
        <v>10211316</v>
      </c>
      <c r="C51" s="147" t="s">
        <v>138</v>
      </c>
      <c r="D51" s="147" t="s">
        <v>158</v>
      </c>
      <c r="E51" s="147" t="s">
        <v>99</v>
      </c>
      <c r="F51" s="148" t="s">
        <v>201</v>
      </c>
      <c r="G51" s="147" t="s">
        <v>139</v>
      </c>
      <c r="H51" s="149">
        <v>121.56</v>
      </c>
      <c r="I51" s="150">
        <v>2</v>
      </c>
      <c r="J51" s="150">
        <v>9</v>
      </c>
      <c r="K51" s="150">
        <v>460.5</v>
      </c>
      <c r="L51" s="149">
        <v>243.12</v>
      </c>
    </row>
    <row r="52" spans="1:12">
      <c r="A52" s="147" t="s">
        <v>182</v>
      </c>
      <c r="B52" s="147">
        <v>10211316</v>
      </c>
      <c r="C52" s="147" t="s">
        <v>138</v>
      </c>
      <c r="D52" s="147" t="s">
        <v>158</v>
      </c>
      <c r="E52" s="147" t="s">
        <v>99</v>
      </c>
      <c r="F52" s="148" t="s">
        <v>202</v>
      </c>
      <c r="G52" s="147" t="s">
        <v>139</v>
      </c>
      <c r="H52" s="149">
        <v>121.56</v>
      </c>
      <c r="I52" s="150">
        <v>2</v>
      </c>
      <c r="J52" s="150">
        <v>9</v>
      </c>
      <c r="K52" s="150">
        <v>596</v>
      </c>
      <c r="L52" s="149">
        <v>243.12</v>
      </c>
    </row>
    <row r="53" spans="1:12">
      <c r="A53" s="147" t="s">
        <v>182</v>
      </c>
      <c r="B53" s="147">
        <v>10211316</v>
      </c>
      <c r="C53" s="147" t="s">
        <v>138</v>
      </c>
      <c r="D53" s="147" t="s">
        <v>158</v>
      </c>
      <c r="E53" s="147" t="s">
        <v>99</v>
      </c>
      <c r="F53" s="148" t="s">
        <v>203</v>
      </c>
      <c r="G53" s="147" t="s">
        <v>139</v>
      </c>
      <c r="H53" s="149">
        <v>121.56</v>
      </c>
      <c r="I53" s="150">
        <v>2</v>
      </c>
      <c r="J53" s="150">
        <v>9</v>
      </c>
      <c r="K53" s="150">
        <v>410.5</v>
      </c>
      <c r="L53" s="149">
        <v>243.12</v>
      </c>
    </row>
    <row r="54" spans="1:12">
      <c r="A54" s="147" t="s">
        <v>182</v>
      </c>
      <c r="B54" s="147">
        <v>10211316</v>
      </c>
      <c r="C54" s="147" t="s">
        <v>138</v>
      </c>
      <c r="D54" s="147" t="s">
        <v>158</v>
      </c>
      <c r="E54" s="147" t="s">
        <v>99</v>
      </c>
      <c r="F54" s="148" t="s">
        <v>204</v>
      </c>
      <c r="G54" s="147" t="s">
        <v>139</v>
      </c>
      <c r="H54" s="149">
        <v>121.56</v>
      </c>
      <c r="I54" s="150">
        <v>2</v>
      </c>
      <c r="J54" s="150">
        <v>9</v>
      </c>
      <c r="K54" s="150">
        <v>261</v>
      </c>
      <c r="L54" s="149">
        <v>243.12</v>
      </c>
    </row>
    <row r="55" spans="1:12">
      <c r="A55" s="147" t="s">
        <v>182</v>
      </c>
      <c r="B55" s="147">
        <v>10211316</v>
      </c>
      <c r="C55" s="147" t="s">
        <v>138</v>
      </c>
      <c r="D55" s="147" t="s">
        <v>158</v>
      </c>
      <c r="E55" s="147" t="s">
        <v>99</v>
      </c>
      <c r="F55" s="148" t="s">
        <v>205</v>
      </c>
      <c r="G55" s="147" t="s">
        <v>139</v>
      </c>
      <c r="H55" s="149">
        <v>121.56</v>
      </c>
      <c r="I55" s="150">
        <v>2</v>
      </c>
      <c r="J55" s="150">
        <v>9</v>
      </c>
      <c r="K55" s="150">
        <v>840.5</v>
      </c>
      <c r="L55" s="149">
        <v>243.12</v>
      </c>
    </row>
    <row r="56" spans="1:12">
      <c r="A56" s="147" t="s">
        <v>182</v>
      </c>
      <c r="B56" s="147">
        <v>10211316</v>
      </c>
      <c r="C56" s="147" t="s">
        <v>138</v>
      </c>
      <c r="D56" s="147" t="s">
        <v>158</v>
      </c>
      <c r="E56" s="147" t="s">
        <v>99</v>
      </c>
      <c r="F56" s="148" t="s">
        <v>206</v>
      </c>
      <c r="G56" s="147" t="s">
        <v>139</v>
      </c>
      <c r="H56" s="149">
        <v>121.56</v>
      </c>
      <c r="I56" s="150">
        <v>2</v>
      </c>
      <c r="J56" s="150">
        <v>9</v>
      </c>
      <c r="K56" s="150">
        <v>645.5</v>
      </c>
      <c r="L56" s="149">
        <v>243.12</v>
      </c>
    </row>
    <row r="57" spans="1:12">
      <c r="A57" s="147" t="s">
        <v>182</v>
      </c>
      <c r="B57" s="147">
        <v>10211316</v>
      </c>
      <c r="C57" s="147" t="s">
        <v>138</v>
      </c>
      <c r="D57" s="147" t="s">
        <v>158</v>
      </c>
      <c r="E57" s="147" t="s">
        <v>99</v>
      </c>
      <c r="F57" s="148" t="s">
        <v>207</v>
      </c>
      <c r="G57" s="147" t="s">
        <v>139</v>
      </c>
      <c r="H57" s="149">
        <v>121.56</v>
      </c>
      <c r="I57" s="150">
        <v>2</v>
      </c>
      <c r="J57" s="150">
        <v>9</v>
      </c>
      <c r="K57" s="150">
        <v>1105.5</v>
      </c>
      <c r="L57" s="149">
        <v>243.12</v>
      </c>
    </row>
    <row r="58" spans="1:12">
      <c r="A58" s="147" t="s">
        <v>182</v>
      </c>
      <c r="B58" s="147">
        <v>10211316</v>
      </c>
      <c r="C58" s="147" t="s">
        <v>138</v>
      </c>
      <c r="D58" s="147" t="s">
        <v>158</v>
      </c>
      <c r="E58" s="147" t="s">
        <v>99</v>
      </c>
      <c r="F58" s="148" t="s">
        <v>208</v>
      </c>
      <c r="G58" s="147" t="s">
        <v>139</v>
      </c>
      <c r="H58" s="149">
        <v>121.56</v>
      </c>
      <c r="I58" s="150">
        <v>0</v>
      </c>
      <c r="J58" s="150">
        <v>0</v>
      </c>
      <c r="K58" s="150">
        <v>335</v>
      </c>
      <c r="L58" s="149">
        <v>0</v>
      </c>
    </row>
    <row r="59" spans="1:12">
      <c r="A59" s="147" t="s">
        <v>182</v>
      </c>
      <c r="B59" s="147">
        <v>10211316</v>
      </c>
      <c r="C59" s="147" t="s">
        <v>138</v>
      </c>
      <c r="D59" s="147" t="s">
        <v>158</v>
      </c>
      <c r="E59" s="147" t="s">
        <v>99</v>
      </c>
      <c r="F59" s="148" t="s">
        <v>208</v>
      </c>
      <c r="G59" s="147" t="s">
        <v>139</v>
      </c>
      <c r="H59" s="149">
        <v>84</v>
      </c>
      <c r="I59" s="150">
        <v>2</v>
      </c>
      <c r="J59" s="150">
        <v>9</v>
      </c>
      <c r="K59" s="150">
        <v>261</v>
      </c>
      <c r="L59" s="149">
        <v>168</v>
      </c>
    </row>
    <row r="60" spans="1:12">
      <c r="A60" s="147" t="s">
        <v>182</v>
      </c>
      <c r="B60" s="147">
        <v>10211316</v>
      </c>
      <c r="C60" s="147" t="s">
        <v>138</v>
      </c>
      <c r="D60" s="147" t="s">
        <v>158</v>
      </c>
      <c r="E60" s="147" t="s">
        <v>99</v>
      </c>
      <c r="F60" s="148" t="s">
        <v>207</v>
      </c>
      <c r="G60" s="147" t="s">
        <v>139</v>
      </c>
      <c r="H60" s="149">
        <v>121.56</v>
      </c>
      <c r="I60" s="150">
        <v>-89</v>
      </c>
      <c r="J60" s="150">
        <v>-400.5</v>
      </c>
      <c r="K60" s="150">
        <v>0</v>
      </c>
      <c r="L60" s="149">
        <v>-10818.84</v>
      </c>
    </row>
    <row r="61" spans="1:12">
      <c r="A61" s="147" t="s">
        <v>182</v>
      </c>
      <c r="B61" s="147">
        <v>10211316</v>
      </c>
      <c r="C61" s="147" t="s">
        <v>138</v>
      </c>
      <c r="D61" s="147" t="s">
        <v>158</v>
      </c>
      <c r="E61" s="147" t="s">
        <v>99</v>
      </c>
      <c r="F61" s="148" t="s">
        <v>207</v>
      </c>
      <c r="G61" s="147" t="s">
        <v>139</v>
      </c>
      <c r="H61" s="149">
        <v>84</v>
      </c>
      <c r="I61" s="150">
        <v>89</v>
      </c>
      <c r="J61" s="150">
        <v>400.5</v>
      </c>
      <c r="K61" s="150">
        <v>11614.5</v>
      </c>
      <c r="L61" s="149">
        <v>7476</v>
      </c>
    </row>
    <row r="62" spans="1:12">
      <c r="A62" s="147" t="s">
        <v>182</v>
      </c>
      <c r="B62" s="147">
        <v>10239765</v>
      </c>
      <c r="C62" s="147" t="s">
        <v>138</v>
      </c>
      <c r="D62" s="147" t="s">
        <v>158</v>
      </c>
      <c r="E62" s="147" t="s">
        <v>99</v>
      </c>
      <c r="F62" s="148" t="s">
        <v>208</v>
      </c>
      <c r="G62" s="147" t="s">
        <v>146</v>
      </c>
      <c r="H62" s="149">
        <v>150</v>
      </c>
      <c r="I62" s="150">
        <v>1</v>
      </c>
      <c r="J62" s="150">
        <v>0</v>
      </c>
      <c r="K62" s="150">
        <v>0</v>
      </c>
      <c r="L62" s="149">
        <v>150</v>
      </c>
    </row>
    <row r="63" spans="1:12">
      <c r="A63" s="147" t="s">
        <v>209</v>
      </c>
      <c r="B63" s="147">
        <v>10211316</v>
      </c>
      <c r="C63" s="147" t="s">
        <v>138</v>
      </c>
      <c r="D63" s="147" t="s">
        <v>158</v>
      </c>
      <c r="E63" s="147" t="s">
        <v>99</v>
      </c>
      <c r="F63" s="148" t="s">
        <v>210</v>
      </c>
      <c r="G63" s="147" t="s">
        <v>140</v>
      </c>
      <c r="H63" s="149">
        <v>121.56</v>
      </c>
      <c r="I63" s="150">
        <v>1</v>
      </c>
      <c r="J63" s="150">
        <v>4.5</v>
      </c>
      <c r="K63" s="150">
        <v>0</v>
      </c>
      <c r="L63" s="149">
        <v>121.56</v>
      </c>
    </row>
    <row r="64" spans="1:12">
      <c r="A64" s="147" t="s">
        <v>209</v>
      </c>
      <c r="B64" s="147">
        <v>10211316</v>
      </c>
      <c r="C64" s="147" t="s">
        <v>138</v>
      </c>
      <c r="D64" s="147" t="s">
        <v>158</v>
      </c>
      <c r="E64" s="147" t="s">
        <v>99</v>
      </c>
      <c r="F64" s="148" t="s">
        <v>210</v>
      </c>
      <c r="G64" s="147" t="s">
        <v>139</v>
      </c>
      <c r="H64" s="149">
        <v>121.56</v>
      </c>
      <c r="I64" s="150">
        <v>-1</v>
      </c>
      <c r="J64" s="150">
        <v>-4.5</v>
      </c>
      <c r="K64" s="150">
        <v>0</v>
      </c>
      <c r="L64" s="149">
        <v>-121.56</v>
      </c>
    </row>
    <row r="65" spans="1:12">
      <c r="A65" s="147" t="s">
        <v>209</v>
      </c>
      <c r="B65" s="147">
        <v>10211316</v>
      </c>
      <c r="C65" s="147" t="s">
        <v>138</v>
      </c>
      <c r="D65" s="147" t="s">
        <v>158</v>
      </c>
      <c r="E65" s="147" t="s">
        <v>99</v>
      </c>
      <c r="F65" s="148" t="s">
        <v>210</v>
      </c>
      <c r="G65" s="147" t="s">
        <v>139</v>
      </c>
      <c r="H65" s="149">
        <v>84</v>
      </c>
      <c r="I65" s="150">
        <v>2</v>
      </c>
      <c r="J65" s="150">
        <v>9</v>
      </c>
      <c r="K65" s="150">
        <v>261</v>
      </c>
      <c r="L65" s="149">
        <v>168</v>
      </c>
    </row>
    <row r="66" spans="1:12">
      <c r="A66" s="147" t="s">
        <v>209</v>
      </c>
      <c r="B66" s="147">
        <v>10211316</v>
      </c>
      <c r="C66" s="147" t="s">
        <v>138</v>
      </c>
      <c r="D66" s="147" t="s">
        <v>158</v>
      </c>
      <c r="E66" s="147" t="s">
        <v>99</v>
      </c>
      <c r="F66" s="148" t="s">
        <v>211</v>
      </c>
      <c r="G66" s="147" t="s">
        <v>139</v>
      </c>
      <c r="H66" s="149">
        <v>84</v>
      </c>
      <c r="I66" s="150">
        <v>-2</v>
      </c>
      <c r="J66" s="150">
        <v>-9</v>
      </c>
      <c r="K66" s="150">
        <v>0</v>
      </c>
      <c r="L66" s="149">
        <v>-168</v>
      </c>
    </row>
    <row r="67" spans="1:12">
      <c r="A67" s="147" t="s">
        <v>209</v>
      </c>
      <c r="B67" s="147">
        <v>10211316</v>
      </c>
      <c r="C67" s="147" t="s">
        <v>138</v>
      </c>
      <c r="D67" s="147" t="s">
        <v>158</v>
      </c>
      <c r="E67" s="147" t="s">
        <v>99</v>
      </c>
      <c r="F67" s="148" t="s">
        <v>212</v>
      </c>
      <c r="G67" s="147" t="s">
        <v>139</v>
      </c>
      <c r="H67" s="149">
        <v>84</v>
      </c>
      <c r="I67" s="150">
        <v>2</v>
      </c>
      <c r="J67" s="150">
        <v>9</v>
      </c>
      <c r="K67" s="150">
        <v>355</v>
      </c>
      <c r="L67" s="149">
        <v>168</v>
      </c>
    </row>
    <row r="68" spans="1:12">
      <c r="A68" s="147" t="s">
        <v>209</v>
      </c>
      <c r="B68" s="147">
        <v>10211316</v>
      </c>
      <c r="C68" s="147" t="s">
        <v>138</v>
      </c>
      <c r="D68" s="147" t="s">
        <v>158</v>
      </c>
      <c r="E68" s="147" t="s">
        <v>99</v>
      </c>
      <c r="F68" s="148" t="s">
        <v>213</v>
      </c>
      <c r="G68" s="147" t="s">
        <v>139</v>
      </c>
      <c r="H68" s="149">
        <v>84</v>
      </c>
      <c r="I68" s="150">
        <v>2</v>
      </c>
      <c r="J68" s="150">
        <v>9</v>
      </c>
      <c r="K68" s="150">
        <v>375</v>
      </c>
      <c r="L68" s="149">
        <v>168</v>
      </c>
    </row>
    <row r="69" spans="1:12">
      <c r="A69" s="147" t="s">
        <v>209</v>
      </c>
      <c r="B69" s="147">
        <v>10211316</v>
      </c>
      <c r="C69" s="147" t="s">
        <v>138</v>
      </c>
      <c r="D69" s="147" t="s">
        <v>158</v>
      </c>
      <c r="E69" s="147" t="s">
        <v>99</v>
      </c>
      <c r="F69" s="148" t="s">
        <v>214</v>
      </c>
      <c r="G69" s="147" t="s">
        <v>139</v>
      </c>
      <c r="H69" s="149">
        <v>84</v>
      </c>
      <c r="I69" s="150">
        <v>2</v>
      </c>
      <c r="J69" s="150">
        <v>9</v>
      </c>
      <c r="K69" s="150">
        <v>235</v>
      </c>
      <c r="L69" s="149">
        <v>168</v>
      </c>
    </row>
    <row r="70" spans="1:12">
      <c r="A70" s="147" t="s">
        <v>209</v>
      </c>
      <c r="B70" s="147">
        <v>10211316</v>
      </c>
      <c r="C70" s="147" t="s">
        <v>138</v>
      </c>
      <c r="D70" s="147" t="s">
        <v>158</v>
      </c>
      <c r="E70" s="147" t="s">
        <v>99</v>
      </c>
      <c r="F70" s="148" t="s">
        <v>215</v>
      </c>
      <c r="G70" s="147" t="s">
        <v>139</v>
      </c>
      <c r="H70" s="149">
        <v>121.56</v>
      </c>
      <c r="I70" s="150">
        <v>0</v>
      </c>
      <c r="J70" s="150">
        <v>0</v>
      </c>
      <c r="K70" s="150">
        <v>775</v>
      </c>
      <c r="L70" s="149">
        <v>0</v>
      </c>
    </row>
    <row r="71" spans="1:12">
      <c r="A71" s="147" t="s">
        <v>209</v>
      </c>
      <c r="B71" s="147">
        <v>10211316</v>
      </c>
      <c r="C71" s="147" t="s">
        <v>138</v>
      </c>
      <c r="D71" s="147" t="s">
        <v>158</v>
      </c>
      <c r="E71" s="147" t="s">
        <v>99</v>
      </c>
      <c r="F71" s="148" t="s">
        <v>215</v>
      </c>
      <c r="G71" s="147" t="s">
        <v>139</v>
      </c>
      <c r="H71" s="149">
        <v>84</v>
      </c>
      <c r="I71" s="150">
        <v>2</v>
      </c>
      <c r="J71" s="150">
        <v>9</v>
      </c>
      <c r="K71" s="150">
        <v>261</v>
      </c>
      <c r="L71" s="149">
        <v>168</v>
      </c>
    </row>
    <row r="72" spans="1:12">
      <c r="A72" s="147" t="s">
        <v>209</v>
      </c>
      <c r="B72" s="147">
        <v>10211316</v>
      </c>
      <c r="C72" s="147" t="s">
        <v>138</v>
      </c>
      <c r="D72" s="147" t="s">
        <v>158</v>
      </c>
      <c r="E72" s="147" t="s">
        <v>99</v>
      </c>
      <c r="F72" s="148" t="s">
        <v>216</v>
      </c>
      <c r="G72" s="147" t="s">
        <v>139</v>
      </c>
      <c r="H72" s="149">
        <v>121.56</v>
      </c>
      <c r="I72" s="150">
        <v>0</v>
      </c>
      <c r="J72" s="150">
        <v>0</v>
      </c>
      <c r="K72" s="150">
        <v>935</v>
      </c>
      <c r="L72" s="149">
        <v>0</v>
      </c>
    </row>
    <row r="73" spans="1:12">
      <c r="A73" s="147" t="s">
        <v>209</v>
      </c>
      <c r="B73" s="147">
        <v>10211316</v>
      </c>
      <c r="C73" s="147" t="s">
        <v>138</v>
      </c>
      <c r="D73" s="147" t="s">
        <v>158</v>
      </c>
      <c r="E73" s="147" t="s">
        <v>99</v>
      </c>
      <c r="F73" s="148" t="s">
        <v>216</v>
      </c>
      <c r="G73" s="147" t="s">
        <v>139</v>
      </c>
      <c r="H73" s="149">
        <v>84</v>
      </c>
      <c r="I73" s="150">
        <v>2</v>
      </c>
      <c r="J73" s="150">
        <v>9</v>
      </c>
      <c r="K73" s="150">
        <v>261</v>
      </c>
      <c r="L73" s="149">
        <v>168</v>
      </c>
    </row>
    <row r="74" spans="1:12">
      <c r="A74" s="147" t="s">
        <v>209</v>
      </c>
      <c r="B74" s="147">
        <v>10211316</v>
      </c>
      <c r="C74" s="147" t="s">
        <v>138</v>
      </c>
      <c r="D74" s="147" t="s">
        <v>158</v>
      </c>
      <c r="E74" s="147" t="s">
        <v>99</v>
      </c>
      <c r="F74" s="148" t="s">
        <v>217</v>
      </c>
      <c r="G74" s="147" t="s">
        <v>139</v>
      </c>
      <c r="H74" s="149">
        <v>121.56</v>
      </c>
      <c r="I74" s="150">
        <v>0</v>
      </c>
      <c r="J74" s="150">
        <v>0</v>
      </c>
      <c r="K74" s="150">
        <v>765</v>
      </c>
      <c r="L74" s="149">
        <v>0</v>
      </c>
    </row>
    <row r="75" spans="1:12">
      <c r="A75" s="147" t="s">
        <v>209</v>
      </c>
      <c r="B75" s="147">
        <v>10211316</v>
      </c>
      <c r="C75" s="147" t="s">
        <v>138</v>
      </c>
      <c r="D75" s="147" t="s">
        <v>158</v>
      </c>
      <c r="E75" s="147" t="s">
        <v>99</v>
      </c>
      <c r="F75" s="148" t="s">
        <v>217</v>
      </c>
      <c r="G75" s="147" t="s">
        <v>139</v>
      </c>
      <c r="H75" s="149">
        <v>84</v>
      </c>
      <c r="I75" s="150">
        <v>2</v>
      </c>
      <c r="J75" s="150">
        <v>9</v>
      </c>
      <c r="K75" s="150">
        <v>261</v>
      </c>
      <c r="L75" s="149">
        <v>168</v>
      </c>
    </row>
    <row r="76" spans="1:12">
      <c r="A76" s="147" t="s">
        <v>209</v>
      </c>
      <c r="B76" s="147">
        <v>10211316</v>
      </c>
      <c r="C76" s="147" t="s">
        <v>138</v>
      </c>
      <c r="D76" s="147" t="s">
        <v>158</v>
      </c>
      <c r="E76" s="147" t="s">
        <v>99</v>
      </c>
      <c r="F76" s="148" t="s">
        <v>218</v>
      </c>
      <c r="G76" s="147" t="s">
        <v>139</v>
      </c>
      <c r="H76" s="149">
        <v>84</v>
      </c>
      <c r="I76" s="150">
        <v>1</v>
      </c>
      <c r="J76" s="150">
        <v>4.5</v>
      </c>
      <c r="K76" s="150">
        <v>130.5</v>
      </c>
      <c r="L76" s="149">
        <v>84</v>
      </c>
    </row>
    <row r="77" spans="1:12">
      <c r="A77" s="147" t="s">
        <v>209</v>
      </c>
      <c r="B77" s="147">
        <v>10211316</v>
      </c>
      <c r="C77" s="147" t="s">
        <v>138</v>
      </c>
      <c r="D77" s="147" t="s">
        <v>158</v>
      </c>
      <c r="E77" s="147" t="s">
        <v>99</v>
      </c>
      <c r="F77" s="148" t="s">
        <v>219</v>
      </c>
      <c r="G77" s="147" t="s">
        <v>139</v>
      </c>
      <c r="H77" s="149">
        <v>121.56</v>
      </c>
      <c r="I77" s="150">
        <v>0</v>
      </c>
      <c r="J77" s="150">
        <v>0</v>
      </c>
      <c r="K77" s="150">
        <v>320</v>
      </c>
      <c r="L77" s="149">
        <v>0</v>
      </c>
    </row>
    <row r="78" spans="1:12">
      <c r="A78" s="147" t="s">
        <v>209</v>
      </c>
      <c r="B78" s="147">
        <v>10211316</v>
      </c>
      <c r="C78" s="147" t="s">
        <v>138</v>
      </c>
      <c r="D78" s="147" t="s">
        <v>158</v>
      </c>
      <c r="E78" s="147" t="s">
        <v>99</v>
      </c>
      <c r="F78" s="148" t="s">
        <v>219</v>
      </c>
      <c r="G78" s="147" t="s">
        <v>139</v>
      </c>
      <c r="H78" s="149">
        <v>84</v>
      </c>
      <c r="I78" s="150">
        <v>2</v>
      </c>
      <c r="J78" s="150">
        <v>9</v>
      </c>
      <c r="K78" s="150">
        <v>261</v>
      </c>
      <c r="L78" s="149">
        <v>168</v>
      </c>
    </row>
    <row r="79" spans="1:12">
      <c r="A79" s="147" t="s">
        <v>209</v>
      </c>
      <c r="B79" s="147">
        <v>10211316</v>
      </c>
      <c r="C79" s="147" t="s">
        <v>138</v>
      </c>
      <c r="D79" s="147" t="s">
        <v>158</v>
      </c>
      <c r="E79" s="147" t="s">
        <v>99</v>
      </c>
      <c r="F79" s="148" t="s">
        <v>220</v>
      </c>
      <c r="G79" s="147" t="s">
        <v>139</v>
      </c>
      <c r="H79" s="149">
        <v>121.56</v>
      </c>
      <c r="I79" s="150">
        <v>0</v>
      </c>
      <c r="J79" s="150">
        <v>0</v>
      </c>
      <c r="K79" s="150">
        <v>465</v>
      </c>
      <c r="L79" s="149">
        <v>0</v>
      </c>
    </row>
    <row r="80" spans="1:12">
      <c r="A80" s="147" t="s">
        <v>209</v>
      </c>
      <c r="B80" s="147">
        <v>10211316</v>
      </c>
      <c r="C80" s="147" t="s">
        <v>138</v>
      </c>
      <c r="D80" s="147" t="s">
        <v>158</v>
      </c>
      <c r="E80" s="147" t="s">
        <v>99</v>
      </c>
      <c r="F80" s="148" t="s">
        <v>220</v>
      </c>
      <c r="G80" s="147" t="s">
        <v>139</v>
      </c>
      <c r="H80" s="149">
        <v>84</v>
      </c>
      <c r="I80" s="150">
        <v>2</v>
      </c>
      <c r="J80" s="150">
        <v>9</v>
      </c>
      <c r="K80" s="150">
        <v>261</v>
      </c>
      <c r="L80" s="149">
        <v>168</v>
      </c>
    </row>
    <row r="81" spans="1:12">
      <c r="A81" s="147" t="s">
        <v>209</v>
      </c>
      <c r="B81" s="147">
        <v>10211316</v>
      </c>
      <c r="C81" s="147" t="s">
        <v>138</v>
      </c>
      <c r="D81" s="147" t="s">
        <v>158</v>
      </c>
      <c r="E81" s="147" t="s">
        <v>99</v>
      </c>
      <c r="F81" s="148" t="s">
        <v>221</v>
      </c>
      <c r="G81" s="147" t="s">
        <v>139</v>
      </c>
      <c r="H81" s="149">
        <v>121.56</v>
      </c>
      <c r="I81" s="150">
        <v>0</v>
      </c>
      <c r="J81" s="150">
        <v>0</v>
      </c>
      <c r="K81" s="150">
        <v>735</v>
      </c>
      <c r="L81" s="149">
        <v>0</v>
      </c>
    </row>
    <row r="82" spans="1:12">
      <c r="A82" s="147" t="s">
        <v>209</v>
      </c>
      <c r="B82" s="147">
        <v>10211316</v>
      </c>
      <c r="C82" s="147" t="s">
        <v>138</v>
      </c>
      <c r="D82" s="147" t="s">
        <v>158</v>
      </c>
      <c r="E82" s="147" t="s">
        <v>99</v>
      </c>
      <c r="F82" s="148" t="s">
        <v>221</v>
      </c>
      <c r="G82" s="147" t="s">
        <v>139</v>
      </c>
      <c r="H82" s="149">
        <v>84</v>
      </c>
      <c r="I82" s="150">
        <v>2</v>
      </c>
      <c r="J82" s="150">
        <v>9</v>
      </c>
      <c r="K82" s="150">
        <v>261</v>
      </c>
      <c r="L82" s="149">
        <v>168</v>
      </c>
    </row>
    <row r="83" spans="1:12">
      <c r="A83" s="147" t="s">
        <v>209</v>
      </c>
      <c r="B83" s="147">
        <v>10211316</v>
      </c>
      <c r="C83" s="147" t="s">
        <v>138</v>
      </c>
      <c r="D83" s="147" t="s">
        <v>158</v>
      </c>
      <c r="E83" s="147" t="s">
        <v>99</v>
      </c>
      <c r="F83" s="148" t="s">
        <v>222</v>
      </c>
      <c r="G83" s="147" t="s">
        <v>139</v>
      </c>
      <c r="H83" s="149">
        <v>121.56</v>
      </c>
      <c r="I83" s="150">
        <v>0</v>
      </c>
      <c r="J83" s="150">
        <v>0</v>
      </c>
      <c r="K83" s="150">
        <v>730</v>
      </c>
      <c r="L83" s="149">
        <v>0</v>
      </c>
    </row>
    <row r="84" spans="1:12">
      <c r="A84" s="147" t="s">
        <v>209</v>
      </c>
      <c r="B84" s="147">
        <v>10211316</v>
      </c>
      <c r="C84" s="147" t="s">
        <v>138</v>
      </c>
      <c r="D84" s="147" t="s">
        <v>158</v>
      </c>
      <c r="E84" s="147" t="s">
        <v>99</v>
      </c>
      <c r="F84" s="148" t="s">
        <v>222</v>
      </c>
      <c r="G84" s="147" t="s">
        <v>139</v>
      </c>
      <c r="H84" s="149">
        <v>84</v>
      </c>
      <c r="I84" s="150">
        <v>2</v>
      </c>
      <c r="J84" s="150">
        <v>9</v>
      </c>
      <c r="K84" s="150">
        <v>261</v>
      </c>
      <c r="L84" s="149">
        <v>168</v>
      </c>
    </row>
    <row r="85" spans="1:12">
      <c r="A85" s="147" t="s">
        <v>209</v>
      </c>
      <c r="B85" s="147">
        <v>10211316</v>
      </c>
      <c r="C85" s="147" t="s">
        <v>138</v>
      </c>
      <c r="D85" s="147" t="s">
        <v>158</v>
      </c>
      <c r="E85" s="147" t="s">
        <v>99</v>
      </c>
      <c r="F85" s="148" t="s">
        <v>223</v>
      </c>
      <c r="G85" s="147" t="s">
        <v>139</v>
      </c>
      <c r="H85" s="149">
        <v>121.56</v>
      </c>
      <c r="I85" s="150">
        <v>0</v>
      </c>
      <c r="J85" s="150">
        <v>0</v>
      </c>
      <c r="K85" s="150">
        <v>185</v>
      </c>
      <c r="L85" s="149">
        <v>0</v>
      </c>
    </row>
    <row r="86" spans="1:12">
      <c r="A86" s="147" t="s">
        <v>209</v>
      </c>
      <c r="B86" s="147">
        <v>10211316</v>
      </c>
      <c r="C86" s="147" t="s">
        <v>138</v>
      </c>
      <c r="D86" s="147" t="s">
        <v>158</v>
      </c>
      <c r="E86" s="147" t="s">
        <v>99</v>
      </c>
      <c r="F86" s="148" t="s">
        <v>223</v>
      </c>
      <c r="G86" s="147" t="s">
        <v>139</v>
      </c>
      <c r="H86" s="149">
        <v>84</v>
      </c>
      <c r="I86" s="150">
        <v>2</v>
      </c>
      <c r="J86" s="150">
        <v>9</v>
      </c>
      <c r="K86" s="150">
        <v>261</v>
      </c>
      <c r="L86" s="149">
        <v>168</v>
      </c>
    </row>
    <row r="87" spans="1:12">
      <c r="A87" s="147" t="s">
        <v>209</v>
      </c>
      <c r="B87" s="147">
        <v>10211316</v>
      </c>
      <c r="C87" s="147" t="s">
        <v>138</v>
      </c>
      <c r="D87" s="147" t="s">
        <v>158</v>
      </c>
      <c r="E87" s="147" t="s">
        <v>99</v>
      </c>
      <c r="F87" s="148" t="s">
        <v>224</v>
      </c>
      <c r="G87" s="147" t="s">
        <v>139</v>
      </c>
      <c r="H87" s="149">
        <v>121.56</v>
      </c>
      <c r="I87" s="150">
        <v>0</v>
      </c>
      <c r="J87" s="150">
        <v>0</v>
      </c>
      <c r="K87" s="150">
        <v>616</v>
      </c>
      <c r="L87" s="149">
        <v>0</v>
      </c>
    </row>
    <row r="88" spans="1:12">
      <c r="A88" s="147" t="s">
        <v>209</v>
      </c>
      <c r="B88" s="147">
        <v>10211316</v>
      </c>
      <c r="C88" s="147" t="s">
        <v>138</v>
      </c>
      <c r="D88" s="147" t="s">
        <v>158</v>
      </c>
      <c r="E88" s="147" t="s">
        <v>99</v>
      </c>
      <c r="F88" s="148" t="s">
        <v>224</v>
      </c>
      <c r="G88" s="147" t="s">
        <v>139</v>
      </c>
      <c r="H88" s="149">
        <v>84</v>
      </c>
      <c r="I88" s="150">
        <v>2</v>
      </c>
      <c r="J88" s="150">
        <v>9</v>
      </c>
      <c r="K88" s="150">
        <v>261</v>
      </c>
      <c r="L88" s="149">
        <v>168</v>
      </c>
    </row>
    <row r="89" spans="1:12">
      <c r="A89" s="147" t="s">
        <v>209</v>
      </c>
      <c r="B89" s="147">
        <v>10211316</v>
      </c>
      <c r="C89" s="147" t="s">
        <v>138</v>
      </c>
      <c r="D89" s="147" t="s">
        <v>158</v>
      </c>
      <c r="E89" s="147" t="s">
        <v>99</v>
      </c>
      <c r="F89" s="148" t="s">
        <v>225</v>
      </c>
      <c r="G89" s="147" t="s">
        <v>139</v>
      </c>
      <c r="H89" s="149">
        <v>121.56</v>
      </c>
      <c r="I89" s="150">
        <v>0</v>
      </c>
      <c r="J89" s="150">
        <v>0</v>
      </c>
      <c r="K89" s="150">
        <v>335</v>
      </c>
      <c r="L89" s="149">
        <v>0</v>
      </c>
    </row>
    <row r="90" spans="1:12">
      <c r="A90" s="147" t="s">
        <v>209</v>
      </c>
      <c r="B90" s="147">
        <v>10211316</v>
      </c>
      <c r="C90" s="147" t="s">
        <v>138</v>
      </c>
      <c r="D90" s="147" t="s">
        <v>158</v>
      </c>
      <c r="E90" s="147" t="s">
        <v>99</v>
      </c>
      <c r="F90" s="148" t="s">
        <v>225</v>
      </c>
      <c r="G90" s="147" t="s">
        <v>139</v>
      </c>
      <c r="H90" s="149">
        <v>84</v>
      </c>
      <c r="I90" s="150">
        <v>2</v>
      </c>
      <c r="J90" s="150">
        <v>9</v>
      </c>
      <c r="K90" s="150">
        <v>261</v>
      </c>
      <c r="L90" s="149">
        <v>168</v>
      </c>
    </row>
    <row r="91" spans="1:12">
      <c r="A91" s="147" t="s">
        <v>209</v>
      </c>
      <c r="B91" s="147">
        <v>10211316</v>
      </c>
      <c r="C91" s="147" t="s">
        <v>138</v>
      </c>
      <c r="D91" s="147" t="s">
        <v>158</v>
      </c>
      <c r="E91" s="147" t="s">
        <v>99</v>
      </c>
      <c r="F91" s="148" t="s">
        <v>226</v>
      </c>
      <c r="G91" s="147" t="s">
        <v>139</v>
      </c>
      <c r="H91" s="149">
        <v>121.56</v>
      </c>
      <c r="I91" s="150">
        <v>0</v>
      </c>
      <c r="J91" s="150">
        <v>0</v>
      </c>
      <c r="K91" s="150">
        <v>840</v>
      </c>
      <c r="L91" s="149">
        <v>0</v>
      </c>
    </row>
    <row r="92" spans="1:12">
      <c r="A92" s="147" t="s">
        <v>209</v>
      </c>
      <c r="B92" s="147">
        <v>10211316</v>
      </c>
      <c r="C92" s="147" t="s">
        <v>138</v>
      </c>
      <c r="D92" s="147" t="s">
        <v>158</v>
      </c>
      <c r="E92" s="147" t="s">
        <v>99</v>
      </c>
      <c r="F92" s="148" t="s">
        <v>226</v>
      </c>
      <c r="G92" s="147" t="s">
        <v>139</v>
      </c>
      <c r="H92" s="149">
        <v>84</v>
      </c>
      <c r="I92" s="150">
        <v>2</v>
      </c>
      <c r="J92" s="150">
        <v>9</v>
      </c>
      <c r="K92" s="150">
        <v>261</v>
      </c>
      <c r="L92" s="149">
        <v>168</v>
      </c>
    </row>
    <row r="93" spans="1:12">
      <c r="A93" s="147" t="s">
        <v>209</v>
      </c>
      <c r="B93" s="147">
        <v>10211316</v>
      </c>
      <c r="C93" s="147" t="s">
        <v>138</v>
      </c>
      <c r="D93" s="147" t="s">
        <v>158</v>
      </c>
      <c r="E93" s="147" t="s">
        <v>99</v>
      </c>
      <c r="F93" s="148" t="s">
        <v>227</v>
      </c>
      <c r="G93" s="147" t="s">
        <v>139</v>
      </c>
      <c r="H93" s="149">
        <v>121.56</v>
      </c>
      <c r="I93" s="150">
        <v>0</v>
      </c>
      <c r="J93" s="150">
        <v>0</v>
      </c>
      <c r="K93" s="150">
        <v>320</v>
      </c>
      <c r="L93" s="149">
        <v>0</v>
      </c>
    </row>
    <row r="94" spans="1:12">
      <c r="A94" s="147" t="s">
        <v>209</v>
      </c>
      <c r="B94" s="147">
        <v>10211316</v>
      </c>
      <c r="C94" s="147" t="s">
        <v>138</v>
      </c>
      <c r="D94" s="147" t="s">
        <v>158</v>
      </c>
      <c r="E94" s="147" t="s">
        <v>99</v>
      </c>
      <c r="F94" s="148" t="s">
        <v>227</v>
      </c>
      <c r="G94" s="147" t="s">
        <v>139</v>
      </c>
      <c r="H94" s="149">
        <v>84</v>
      </c>
      <c r="I94" s="150">
        <v>2</v>
      </c>
      <c r="J94" s="150">
        <v>9</v>
      </c>
      <c r="K94" s="150">
        <v>261</v>
      </c>
      <c r="L94" s="149">
        <v>168</v>
      </c>
    </row>
    <row r="95" spans="1:12">
      <c r="A95" s="147" t="s">
        <v>209</v>
      </c>
      <c r="B95" s="147">
        <v>10211316</v>
      </c>
      <c r="C95" s="147" t="s">
        <v>138</v>
      </c>
      <c r="D95" s="147" t="s">
        <v>158</v>
      </c>
      <c r="E95" s="147" t="s">
        <v>99</v>
      </c>
      <c r="F95" s="148" t="s">
        <v>228</v>
      </c>
      <c r="G95" s="147" t="s">
        <v>139</v>
      </c>
      <c r="H95" s="149">
        <v>121.56</v>
      </c>
      <c r="I95" s="150">
        <v>0</v>
      </c>
      <c r="J95" s="150">
        <v>0</v>
      </c>
      <c r="K95" s="150">
        <v>170</v>
      </c>
      <c r="L95" s="149">
        <v>0</v>
      </c>
    </row>
    <row r="96" spans="1:12">
      <c r="A96" s="147" t="s">
        <v>209</v>
      </c>
      <c r="B96" s="147">
        <v>10211316</v>
      </c>
      <c r="C96" s="147" t="s">
        <v>138</v>
      </c>
      <c r="D96" s="147" t="s">
        <v>158</v>
      </c>
      <c r="E96" s="147" t="s">
        <v>99</v>
      </c>
      <c r="F96" s="148" t="s">
        <v>228</v>
      </c>
      <c r="G96" s="147" t="s">
        <v>139</v>
      </c>
      <c r="H96" s="149">
        <v>84</v>
      </c>
      <c r="I96" s="150">
        <v>2</v>
      </c>
      <c r="J96" s="150">
        <v>9</v>
      </c>
      <c r="K96" s="150">
        <v>261</v>
      </c>
      <c r="L96" s="149">
        <v>168</v>
      </c>
    </row>
    <row r="97" spans="1:12">
      <c r="A97" s="147" t="s">
        <v>209</v>
      </c>
      <c r="B97" s="147">
        <v>10211316</v>
      </c>
      <c r="C97" s="147" t="s">
        <v>138</v>
      </c>
      <c r="D97" s="147" t="s">
        <v>158</v>
      </c>
      <c r="E97" s="147" t="s">
        <v>99</v>
      </c>
      <c r="F97" s="148" t="s">
        <v>229</v>
      </c>
      <c r="G97" s="147" t="s">
        <v>139</v>
      </c>
      <c r="H97" s="149">
        <v>121.56</v>
      </c>
      <c r="I97" s="150">
        <v>0</v>
      </c>
      <c r="J97" s="150">
        <v>0</v>
      </c>
      <c r="K97" s="150">
        <v>830</v>
      </c>
      <c r="L97" s="149">
        <v>0</v>
      </c>
    </row>
    <row r="98" spans="1:12">
      <c r="A98" s="147" t="s">
        <v>209</v>
      </c>
      <c r="B98" s="147">
        <v>10211316</v>
      </c>
      <c r="C98" s="147" t="s">
        <v>138</v>
      </c>
      <c r="D98" s="147" t="s">
        <v>158</v>
      </c>
      <c r="E98" s="147" t="s">
        <v>99</v>
      </c>
      <c r="F98" s="148" t="s">
        <v>229</v>
      </c>
      <c r="G98" s="147" t="s">
        <v>139</v>
      </c>
      <c r="H98" s="149">
        <v>84</v>
      </c>
      <c r="I98" s="150">
        <v>2</v>
      </c>
      <c r="J98" s="150">
        <v>9</v>
      </c>
      <c r="K98" s="150">
        <v>261</v>
      </c>
      <c r="L98" s="149">
        <v>168</v>
      </c>
    </row>
    <row r="99" spans="1:12">
      <c r="A99" s="147" t="s">
        <v>209</v>
      </c>
      <c r="B99" s="147">
        <v>10211316</v>
      </c>
      <c r="C99" s="147" t="s">
        <v>138</v>
      </c>
      <c r="D99" s="147" t="s">
        <v>158</v>
      </c>
      <c r="E99" s="147" t="s">
        <v>99</v>
      </c>
      <c r="F99" s="148" t="s">
        <v>230</v>
      </c>
      <c r="G99" s="147" t="s">
        <v>139</v>
      </c>
      <c r="H99" s="149">
        <v>121.56</v>
      </c>
      <c r="I99" s="150">
        <v>0</v>
      </c>
      <c r="J99" s="150">
        <v>0</v>
      </c>
      <c r="K99" s="150">
        <v>500</v>
      </c>
      <c r="L99" s="149">
        <v>0</v>
      </c>
    </row>
    <row r="100" spans="1:12">
      <c r="A100" s="147" t="s">
        <v>209</v>
      </c>
      <c r="B100" s="147">
        <v>10211316</v>
      </c>
      <c r="C100" s="147" t="s">
        <v>138</v>
      </c>
      <c r="D100" s="147" t="s">
        <v>158</v>
      </c>
      <c r="E100" s="147" t="s">
        <v>99</v>
      </c>
      <c r="F100" s="148" t="s">
        <v>230</v>
      </c>
      <c r="G100" s="147" t="s">
        <v>139</v>
      </c>
      <c r="H100" s="149">
        <v>84</v>
      </c>
      <c r="I100" s="150">
        <v>2</v>
      </c>
      <c r="J100" s="150">
        <v>9</v>
      </c>
      <c r="K100" s="150">
        <v>261</v>
      </c>
      <c r="L100" s="149">
        <v>168</v>
      </c>
    </row>
    <row r="101" spans="1:12">
      <c r="A101" s="147" t="s">
        <v>209</v>
      </c>
      <c r="B101" s="147">
        <v>10211316</v>
      </c>
      <c r="C101" s="147" t="s">
        <v>138</v>
      </c>
      <c r="D101" s="147" t="s">
        <v>158</v>
      </c>
      <c r="E101" s="147" t="s">
        <v>99</v>
      </c>
      <c r="F101" s="148" t="s">
        <v>231</v>
      </c>
      <c r="G101" s="147" t="s">
        <v>139</v>
      </c>
      <c r="H101" s="149">
        <v>121.56</v>
      </c>
      <c r="I101" s="150">
        <v>0</v>
      </c>
      <c r="J101" s="150">
        <v>0</v>
      </c>
      <c r="K101" s="150">
        <v>705</v>
      </c>
      <c r="L101" s="149">
        <v>0</v>
      </c>
    </row>
    <row r="102" spans="1:12">
      <c r="A102" s="147" t="s">
        <v>209</v>
      </c>
      <c r="B102" s="147">
        <v>10211316</v>
      </c>
      <c r="C102" s="147" t="s">
        <v>138</v>
      </c>
      <c r="D102" s="147" t="s">
        <v>158</v>
      </c>
      <c r="E102" s="147" t="s">
        <v>99</v>
      </c>
      <c r="F102" s="148" t="s">
        <v>231</v>
      </c>
      <c r="G102" s="147" t="s">
        <v>139</v>
      </c>
      <c r="H102" s="149">
        <v>84</v>
      </c>
      <c r="I102" s="150">
        <v>2</v>
      </c>
      <c r="J102" s="150">
        <v>9</v>
      </c>
      <c r="K102" s="150">
        <v>261</v>
      </c>
      <c r="L102" s="149">
        <v>168</v>
      </c>
    </row>
    <row r="103" spans="1:12">
      <c r="A103" s="147" t="s">
        <v>209</v>
      </c>
      <c r="B103" s="147">
        <v>10211316</v>
      </c>
      <c r="C103" s="147" t="s">
        <v>138</v>
      </c>
      <c r="D103" s="147" t="s">
        <v>158</v>
      </c>
      <c r="E103" s="147" t="s">
        <v>99</v>
      </c>
      <c r="F103" s="148" t="s">
        <v>232</v>
      </c>
      <c r="G103" s="147" t="s">
        <v>139</v>
      </c>
      <c r="H103" s="149">
        <v>121.56</v>
      </c>
      <c r="I103" s="150">
        <v>0</v>
      </c>
      <c r="J103" s="150">
        <v>0</v>
      </c>
      <c r="K103" s="150">
        <v>580</v>
      </c>
      <c r="L103" s="149">
        <v>0</v>
      </c>
    </row>
    <row r="104" spans="1:12">
      <c r="A104" s="147" t="s">
        <v>209</v>
      </c>
      <c r="B104" s="147">
        <v>10211316</v>
      </c>
      <c r="C104" s="147" t="s">
        <v>138</v>
      </c>
      <c r="D104" s="147" t="s">
        <v>158</v>
      </c>
      <c r="E104" s="147" t="s">
        <v>99</v>
      </c>
      <c r="F104" s="148" t="s">
        <v>232</v>
      </c>
      <c r="G104" s="147" t="s">
        <v>139</v>
      </c>
      <c r="H104" s="149">
        <v>84</v>
      </c>
      <c r="I104" s="150">
        <v>2</v>
      </c>
      <c r="J104" s="150">
        <v>9</v>
      </c>
      <c r="K104" s="150">
        <v>261</v>
      </c>
      <c r="L104" s="149">
        <v>168</v>
      </c>
    </row>
    <row r="105" spans="1:12">
      <c r="A105" s="147" t="s">
        <v>209</v>
      </c>
      <c r="B105" s="147">
        <v>10211316</v>
      </c>
      <c r="C105" s="147" t="s">
        <v>138</v>
      </c>
      <c r="D105" s="147" t="s">
        <v>158</v>
      </c>
      <c r="E105" s="147" t="s">
        <v>99</v>
      </c>
      <c r="F105" s="148" t="s">
        <v>233</v>
      </c>
      <c r="G105" s="147" t="s">
        <v>139</v>
      </c>
      <c r="H105" s="149">
        <v>121.56</v>
      </c>
      <c r="I105" s="150">
        <v>0</v>
      </c>
      <c r="J105" s="150">
        <v>0</v>
      </c>
      <c r="K105" s="150">
        <v>415</v>
      </c>
      <c r="L105" s="149">
        <v>0</v>
      </c>
    </row>
    <row r="106" spans="1:12">
      <c r="A106" s="147" t="s">
        <v>209</v>
      </c>
      <c r="B106" s="147">
        <v>10211316</v>
      </c>
      <c r="C106" s="147" t="s">
        <v>138</v>
      </c>
      <c r="D106" s="147" t="s">
        <v>158</v>
      </c>
      <c r="E106" s="147" t="s">
        <v>99</v>
      </c>
      <c r="F106" s="148" t="s">
        <v>233</v>
      </c>
      <c r="G106" s="147" t="s">
        <v>139</v>
      </c>
      <c r="H106" s="149">
        <v>84</v>
      </c>
      <c r="I106" s="150">
        <v>2</v>
      </c>
      <c r="J106" s="150">
        <v>9</v>
      </c>
      <c r="K106" s="150">
        <v>261</v>
      </c>
      <c r="L106" s="149">
        <v>168</v>
      </c>
    </row>
    <row r="107" spans="1:12">
      <c r="A107" s="147" t="s">
        <v>209</v>
      </c>
      <c r="B107" s="147">
        <v>10211316</v>
      </c>
      <c r="C107" s="147" t="s">
        <v>138</v>
      </c>
      <c r="D107" s="147" t="s">
        <v>158</v>
      </c>
      <c r="E107" s="147" t="s">
        <v>99</v>
      </c>
      <c r="F107" s="148" t="s">
        <v>234</v>
      </c>
      <c r="G107" s="147" t="s">
        <v>139</v>
      </c>
      <c r="H107" s="149">
        <v>121.56</v>
      </c>
      <c r="I107" s="150">
        <v>0</v>
      </c>
      <c r="J107" s="150">
        <v>0</v>
      </c>
      <c r="K107" s="150">
        <v>28</v>
      </c>
      <c r="L107" s="149">
        <v>0</v>
      </c>
    </row>
    <row r="108" spans="1:12">
      <c r="A108" s="147" t="s">
        <v>209</v>
      </c>
      <c r="B108" s="147">
        <v>10211316</v>
      </c>
      <c r="C108" s="147" t="s">
        <v>138</v>
      </c>
      <c r="D108" s="147" t="s">
        <v>158</v>
      </c>
      <c r="E108" s="147" t="s">
        <v>99</v>
      </c>
      <c r="F108" s="148" t="s">
        <v>234</v>
      </c>
      <c r="G108" s="147" t="s">
        <v>139</v>
      </c>
      <c r="H108" s="149">
        <v>84</v>
      </c>
      <c r="I108" s="150">
        <v>1</v>
      </c>
      <c r="J108" s="150">
        <v>4.5</v>
      </c>
      <c r="K108" s="150">
        <v>130.5</v>
      </c>
      <c r="L108" s="149">
        <v>84</v>
      </c>
    </row>
    <row r="109" spans="1:12">
      <c r="A109" s="147" t="s">
        <v>209</v>
      </c>
      <c r="B109" s="147">
        <v>10211316</v>
      </c>
      <c r="C109" s="147" t="s">
        <v>138</v>
      </c>
      <c r="D109" s="147" t="s">
        <v>158</v>
      </c>
      <c r="E109" s="147" t="s">
        <v>99</v>
      </c>
      <c r="F109" s="148" t="s">
        <v>211</v>
      </c>
      <c r="G109" s="147" t="s">
        <v>141</v>
      </c>
      <c r="H109" s="149">
        <v>84</v>
      </c>
      <c r="I109" s="150">
        <v>2</v>
      </c>
      <c r="J109" s="150">
        <v>9</v>
      </c>
      <c r="K109" s="150">
        <v>0</v>
      </c>
      <c r="L109" s="149">
        <v>168</v>
      </c>
    </row>
    <row r="110" spans="1:12">
      <c r="A110" s="147" t="s">
        <v>209</v>
      </c>
      <c r="B110" s="147">
        <v>10239765</v>
      </c>
      <c r="C110" s="147" t="s">
        <v>138</v>
      </c>
      <c r="D110" s="147" t="s">
        <v>158</v>
      </c>
      <c r="E110" s="147" t="s">
        <v>99</v>
      </c>
      <c r="F110" s="148" t="s">
        <v>214</v>
      </c>
      <c r="G110" s="147" t="s">
        <v>146</v>
      </c>
      <c r="H110" s="149">
        <v>150</v>
      </c>
      <c r="I110" s="150">
        <v>1</v>
      </c>
      <c r="J110" s="150">
        <v>0</v>
      </c>
      <c r="K110" s="150">
        <v>0</v>
      </c>
      <c r="L110" s="149">
        <v>150</v>
      </c>
    </row>
    <row r="111" spans="1:12">
      <c r="A111" s="147" t="s">
        <v>209</v>
      </c>
      <c r="B111" s="147">
        <v>10254159</v>
      </c>
      <c r="C111" s="147" t="s">
        <v>148</v>
      </c>
      <c r="D111" s="147" t="s">
        <v>158</v>
      </c>
      <c r="E111" s="147" t="s">
        <v>99</v>
      </c>
      <c r="F111" s="148" t="s">
        <v>228</v>
      </c>
      <c r="G111" s="147" t="s">
        <v>149</v>
      </c>
      <c r="H111" s="149">
        <v>78</v>
      </c>
      <c r="I111" s="150">
        <v>1</v>
      </c>
      <c r="J111" s="150">
        <v>3</v>
      </c>
      <c r="K111" s="150">
        <v>190</v>
      </c>
      <c r="L111" s="149">
        <v>78</v>
      </c>
    </row>
    <row r="112" spans="1:12">
      <c r="A112" s="147" t="s">
        <v>209</v>
      </c>
      <c r="B112" s="147">
        <v>10254159</v>
      </c>
      <c r="C112" s="147" t="s">
        <v>148</v>
      </c>
      <c r="D112" s="147" t="s">
        <v>158</v>
      </c>
      <c r="E112" s="147" t="s">
        <v>99</v>
      </c>
      <c r="F112" s="148" t="s">
        <v>230</v>
      </c>
      <c r="G112" s="147" t="s">
        <v>149</v>
      </c>
      <c r="H112" s="149">
        <v>78</v>
      </c>
      <c r="I112" s="150">
        <v>1</v>
      </c>
      <c r="J112" s="150">
        <v>3</v>
      </c>
      <c r="K112" s="150">
        <v>87</v>
      </c>
      <c r="L112" s="149">
        <v>78</v>
      </c>
    </row>
    <row r="113" spans="1:12">
      <c r="A113" s="147" t="s">
        <v>235</v>
      </c>
      <c r="B113" s="147">
        <v>10211316</v>
      </c>
      <c r="C113" s="147" t="s">
        <v>138</v>
      </c>
      <c r="D113" s="147" t="s">
        <v>158</v>
      </c>
      <c r="E113" s="147" t="s">
        <v>99</v>
      </c>
      <c r="F113" s="148" t="s">
        <v>236</v>
      </c>
      <c r="G113" s="147" t="s">
        <v>139</v>
      </c>
      <c r="H113" s="149">
        <v>84</v>
      </c>
      <c r="I113" s="150">
        <v>2</v>
      </c>
      <c r="J113" s="150">
        <v>9</v>
      </c>
      <c r="K113" s="150">
        <v>960</v>
      </c>
      <c r="L113" s="149">
        <v>168</v>
      </c>
    </row>
    <row r="114" spans="1:12">
      <c r="A114" s="147" t="s">
        <v>235</v>
      </c>
      <c r="B114" s="147">
        <v>10211316</v>
      </c>
      <c r="C114" s="147" t="s">
        <v>138</v>
      </c>
      <c r="D114" s="147" t="s">
        <v>158</v>
      </c>
      <c r="E114" s="147" t="s">
        <v>99</v>
      </c>
      <c r="F114" s="148" t="s">
        <v>237</v>
      </c>
      <c r="G114" s="147" t="s">
        <v>139</v>
      </c>
      <c r="H114" s="149">
        <v>84</v>
      </c>
      <c r="I114" s="150">
        <v>2</v>
      </c>
      <c r="J114" s="150">
        <v>9</v>
      </c>
      <c r="K114" s="150">
        <v>400</v>
      </c>
      <c r="L114" s="149">
        <v>168</v>
      </c>
    </row>
    <row r="115" spans="1:12">
      <c r="A115" s="147" t="s">
        <v>235</v>
      </c>
      <c r="B115" s="147">
        <v>10211316</v>
      </c>
      <c r="C115" s="147" t="s">
        <v>138</v>
      </c>
      <c r="D115" s="147" t="s">
        <v>158</v>
      </c>
      <c r="E115" s="147" t="s">
        <v>99</v>
      </c>
      <c r="F115" s="148" t="s">
        <v>238</v>
      </c>
      <c r="G115" s="147" t="s">
        <v>139</v>
      </c>
      <c r="H115" s="149">
        <v>84</v>
      </c>
      <c r="I115" s="150">
        <v>2</v>
      </c>
      <c r="J115" s="150">
        <v>9</v>
      </c>
      <c r="K115" s="150">
        <v>281</v>
      </c>
      <c r="L115" s="149">
        <v>168</v>
      </c>
    </row>
    <row r="116" spans="1:12">
      <c r="A116" s="147" t="s">
        <v>235</v>
      </c>
      <c r="B116" s="147">
        <v>10211316</v>
      </c>
      <c r="C116" s="147" t="s">
        <v>138</v>
      </c>
      <c r="D116" s="147" t="s">
        <v>158</v>
      </c>
      <c r="E116" s="147" t="s">
        <v>99</v>
      </c>
      <c r="F116" s="148" t="s">
        <v>239</v>
      </c>
      <c r="G116" s="147" t="s">
        <v>139</v>
      </c>
      <c r="H116" s="149">
        <v>84</v>
      </c>
      <c r="I116" s="150">
        <v>2</v>
      </c>
      <c r="J116" s="150">
        <v>9</v>
      </c>
      <c r="K116" s="150">
        <v>765</v>
      </c>
      <c r="L116" s="149">
        <v>168</v>
      </c>
    </row>
    <row r="117" spans="1:12">
      <c r="A117" s="147" t="s">
        <v>235</v>
      </c>
      <c r="B117" s="147">
        <v>10211316</v>
      </c>
      <c r="C117" s="147" t="s">
        <v>138</v>
      </c>
      <c r="D117" s="147" t="s">
        <v>158</v>
      </c>
      <c r="E117" s="147" t="s">
        <v>99</v>
      </c>
      <c r="F117" s="148" t="s">
        <v>240</v>
      </c>
      <c r="G117" s="147" t="s">
        <v>139</v>
      </c>
      <c r="H117" s="149">
        <v>84</v>
      </c>
      <c r="I117" s="150">
        <v>2</v>
      </c>
      <c r="J117" s="150">
        <v>9</v>
      </c>
      <c r="K117" s="150">
        <v>550</v>
      </c>
      <c r="L117" s="149">
        <v>168</v>
      </c>
    </row>
    <row r="118" spans="1:12">
      <c r="A118" s="147" t="s">
        <v>235</v>
      </c>
      <c r="B118" s="147">
        <v>10211316</v>
      </c>
      <c r="C118" s="147" t="s">
        <v>138</v>
      </c>
      <c r="D118" s="147" t="s">
        <v>158</v>
      </c>
      <c r="E118" s="147" t="s">
        <v>99</v>
      </c>
      <c r="F118" s="148" t="s">
        <v>241</v>
      </c>
      <c r="G118" s="147" t="s">
        <v>139</v>
      </c>
      <c r="H118" s="149">
        <v>84</v>
      </c>
      <c r="I118" s="150">
        <v>2</v>
      </c>
      <c r="J118" s="150">
        <v>9</v>
      </c>
      <c r="K118" s="150">
        <v>755</v>
      </c>
      <c r="L118" s="149">
        <v>168</v>
      </c>
    </row>
    <row r="119" spans="1:12">
      <c r="A119" s="147" t="s">
        <v>235</v>
      </c>
      <c r="B119" s="147">
        <v>10211316</v>
      </c>
      <c r="C119" s="147" t="s">
        <v>138</v>
      </c>
      <c r="D119" s="147" t="s">
        <v>158</v>
      </c>
      <c r="E119" s="147" t="s">
        <v>99</v>
      </c>
      <c r="F119" s="148" t="s">
        <v>242</v>
      </c>
      <c r="G119" s="147" t="s">
        <v>139</v>
      </c>
      <c r="H119" s="149">
        <v>84</v>
      </c>
      <c r="I119" s="150">
        <v>2</v>
      </c>
      <c r="J119" s="150">
        <v>9</v>
      </c>
      <c r="K119" s="150">
        <v>447</v>
      </c>
      <c r="L119" s="149">
        <v>168</v>
      </c>
    </row>
    <row r="120" spans="1:12">
      <c r="A120" s="147" t="s">
        <v>235</v>
      </c>
      <c r="B120" s="147">
        <v>10211316</v>
      </c>
      <c r="C120" s="147" t="s">
        <v>138</v>
      </c>
      <c r="D120" s="147" t="s">
        <v>158</v>
      </c>
      <c r="E120" s="147" t="s">
        <v>99</v>
      </c>
      <c r="F120" s="148" t="s">
        <v>243</v>
      </c>
      <c r="G120" s="147" t="s">
        <v>139</v>
      </c>
      <c r="H120" s="149">
        <v>84</v>
      </c>
      <c r="I120" s="150">
        <v>2</v>
      </c>
      <c r="J120" s="150">
        <v>9</v>
      </c>
      <c r="K120" s="150">
        <v>110</v>
      </c>
      <c r="L120" s="149">
        <v>168</v>
      </c>
    </row>
    <row r="121" spans="1:12">
      <c r="A121" s="147" t="s">
        <v>235</v>
      </c>
      <c r="B121" s="147">
        <v>10211316</v>
      </c>
      <c r="C121" s="147" t="s">
        <v>138</v>
      </c>
      <c r="D121" s="147" t="s">
        <v>158</v>
      </c>
      <c r="E121" s="147" t="s">
        <v>99</v>
      </c>
      <c r="F121" s="148" t="s">
        <v>244</v>
      </c>
      <c r="G121" s="147" t="s">
        <v>139</v>
      </c>
      <c r="H121" s="149">
        <v>84</v>
      </c>
      <c r="I121" s="150">
        <v>2</v>
      </c>
      <c r="J121" s="150">
        <v>9</v>
      </c>
      <c r="K121" s="150">
        <v>60</v>
      </c>
      <c r="L121" s="149">
        <v>168</v>
      </c>
    </row>
    <row r="122" spans="1:12">
      <c r="A122" s="147" t="s">
        <v>235</v>
      </c>
      <c r="B122" s="147">
        <v>10211316</v>
      </c>
      <c r="C122" s="147" t="s">
        <v>138</v>
      </c>
      <c r="D122" s="147" t="s">
        <v>158</v>
      </c>
      <c r="E122" s="147" t="s">
        <v>99</v>
      </c>
      <c r="F122" s="148" t="s">
        <v>245</v>
      </c>
      <c r="G122" s="147" t="s">
        <v>139</v>
      </c>
      <c r="H122" s="149">
        <v>84</v>
      </c>
      <c r="I122" s="150">
        <v>2</v>
      </c>
      <c r="J122" s="150">
        <v>9</v>
      </c>
      <c r="K122" s="150">
        <v>725</v>
      </c>
      <c r="L122" s="149">
        <v>168</v>
      </c>
    </row>
    <row r="123" spans="1:12">
      <c r="A123" s="147" t="s">
        <v>235</v>
      </c>
      <c r="B123" s="147">
        <v>10211316</v>
      </c>
      <c r="C123" s="147" t="s">
        <v>138</v>
      </c>
      <c r="D123" s="147" t="s">
        <v>158</v>
      </c>
      <c r="E123" s="147" t="s">
        <v>99</v>
      </c>
      <c r="F123" s="148" t="s">
        <v>246</v>
      </c>
      <c r="G123" s="147" t="s">
        <v>139</v>
      </c>
      <c r="H123" s="149">
        <v>84</v>
      </c>
      <c r="I123" s="150">
        <v>2</v>
      </c>
      <c r="J123" s="150">
        <v>9</v>
      </c>
      <c r="K123" s="150">
        <v>785</v>
      </c>
      <c r="L123" s="149">
        <v>168</v>
      </c>
    </row>
    <row r="124" spans="1:12">
      <c r="A124" s="147" t="s">
        <v>235</v>
      </c>
      <c r="B124" s="147">
        <v>10211316</v>
      </c>
      <c r="C124" s="147" t="s">
        <v>138</v>
      </c>
      <c r="D124" s="147" t="s">
        <v>158</v>
      </c>
      <c r="E124" s="147" t="s">
        <v>99</v>
      </c>
      <c r="F124" s="148" t="s">
        <v>247</v>
      </c>
      <c r="G124" s="147" t="s">
        <v>139</v>
      </c>
      <c r="H124" s="149">
        <v>84</v>
      </c>
      <c r="I124" s="150">
        <v>2</v>
      </c>
      <c r="J124" s="150">
        <v>9</v>
      </c>
      <c r="K124" s="150">
        <v>895</v>
      </c>
      <c r="L124" s="149">
        <v>168</v>
      </c>
    </row>
    <row r="125" spans="1:12">
      <c r="A125" s="147" t="s">
        <v>235</v>
      </c>
      <c r="B125" s="147">
        <v>10211316</v>
      </c>
      <c r="C125" s="147" t="s">
        <v>138</v>
      </c>
      <c r="D125" s="147" t="s">
        <v>158</v>
      </c>
      <c r="E125" s="147" t="s">
        <v>99</v>
      </c>
      <c r="F125" s="148" t="s">
        <v>248</v>
      </c>
      <c r="G125" s="147" t="s">
        <v>139</v>
      </c>
      <c r="H125" s="149">
        <v>84</v>
      </c>
      <c r="I125" s="150">
        <v>1</v>
      </c>
      <c r="J125" s="150">
        <v>4.5</v>
      </c>
      <c r="K125" s="150">
        <v>366</v>
      </c>
      <c r="L125" s="149">
        <v>84</v>
      </c>
    </row>
    <row r="126" spans="1:12">
      <c r="A126" s="147" t="s">
        <v>235</v>
      </c>
      <c r="B126" s="147">
        <v>10211316</v>
      </c>
      <c r="C126" s="147" t="s">
        <v>138</v>
      </c>
      <c r="D126" s="147" t="s">
        <v>158</v>
      </c>
      <c r="E126" s="147" t="s">
        <v>99</v>
      </c>
      <c r="F126" s="148" t="s">
        <v>249</v>
      </c>
      <c r="G126" s="147" t="s">
        <v>139</v>
      </c>
      <c r="H126" s="149">
        <v>84</v>
      </c>
      <c r="I126" s="150">
        <v>2</v>
      </c>
      <c r="J126" s="150">
        <v>9</v>
      </c>
      <c r="K126" s="150">
        <v>685</v>
      </c>
      <c r="L126" s="149">
        <v>168</v>
      </c>
    </row>
    <row r="127" spans="1:12">
      <c r="A127" s="147" t="s">
        <v>235</v>
      </c>
      <c r="B127" s="147">
        <v>10211316</v>
      </c>
      <c r="C127" s="147" t="s">
        <v>138</v>
      </c>
      <c r="D127" s="147" t="s">
        <v>158</v>
      </c>
      <c r="E127" s="147" t="s">
        <v>99</v>
      </c>
      <c r="F127" s="148" t="s">
        <v>250</v>
      </c>
      <c r="G127" s="147" t="s">
        <v>139</v>
      </c>
      <c r="H127" s="149">
        <v>84</v>
      </c>
      <c r="I127" s="150">
        <v>2</v>
      </c>
      <c r="J127" s="150">
        <v>9</v>
      </c>
      <c r="K127" s="150">
        <v>995</v>
      </c>
      <c r="L127" s="149">
        <v>168</v>
      </c>
    </row>
    <row r="128" spans="1:12">
      <c r="A128" s="147" t="s">
        <v>235</v>
      </c>
      <c r="B128" s="147">
        <v>10211316</v>
      </c>
      <c r="C128" s="147" t="s">
        <v>138</v>
      </c>
      <c r="D128" s="147" t="s">
        <v>158</v>
      </c>
      <c r="E128" s="147" t="s">
        <v>99</v>
      </c>
      <c r="F128" s="148" t="s">
        <v>251</v>
      </c>
      <c r="G128" s="147" t="s">
        <v>139</v>
      </c>
      <c r="H128" s="149">
        <v>84</v>
      </c>
      <c r="I128" s="150">
        <v>2</v>
      </c>
      <c r="J128" s="150">
        <v>9</v>
      </c>
      <c r="K128" s="150">
        <v>760</v>
      </c>
      <c r="L128" s="149">
        <v>168</v>
      </c>
    </row>
    <row r="129" spans="1:12">
      <c r="A129" s="147" t="s">
        <v>235</v>
      </c>
      <c r="B129" s="147">
        <v>10211316</v>
      </c>
      <c r="C129" s="147" t="s">
        <v>138</v>
      </c>
      <c r="D129" s="147" t="s">
        <v>158</v>
      </c>
      <c r="E129" s="147" t="s">
        <v>99</v>
      </c>
      <c r="F129" s="148" t="s">
        <v>252</v>
      </c>
      <c r="G129" s="147" t="s">
        <v>139</v>
      </c>
      <c r="H129" s="149">
        <v>84</v>
      </c>
      <c r="I129" s="150">
        <v>2</v>
      </c>
      <c r="J129" s="150">
        <v>9</v>
      </c>
      <c r="K129" s="150">
        <v>760</v>
      </c>
      <c r="L129" s="149">
        <v>168</v>
      </c>
    </row>
    <row r="130" spans="1:12">
      <c r="A130" s="147" t="s">
        <v>235</v>
      </c>
      <c r="B130" s="147">
        <v>10211316</v>
      </c>
      <c r="C130" s="147" t="s">
        <v>138</v>
      </c>
      <c r="D130" s="147" t="s">
        <v>158</v>
      </c>
      <c r="E130" s="147" t="s">
        <v>99</v>
      </c>
      <c r="F130" s="148" t="s">
        <v>253</v>
      </c>
      <c r="G130" s="147" t="s">
        <v>139</v>
      </c>
      <c r="H130" s="149">
        <v>84</v>
      </c>
      <c r="I130" s="150">
        <v>2</v>
      </c>
      <c r="J130" s="150">
        <v>9</v>
      </c>
      <c r="K130" s="150">
        <v>750</v>
      </c>
      <c r="L130" s="149">
        <v>168</v>
      </c>
    </row>
    <row r="131" spans="1:12">
      <c r="A131" s="147" t="s">
        <v>235</v>
      </c>
      <c r="B131" s="147">
        <v>10211316</v>
      </c>
      <c r="C131" s="147" t="s">
        <v>138</v>
      </c>
      <c r="D131" s="147" t="s">
        <v>158</v>
      </c>
      <c r="E131" s="147" t="s">
        <v>99</v>
      </c>
      <c r="F131" s="148" t="s">
        <v>254</v>
      </c>
      <c r="G131" s="147" t="s">
        <v>139</v>
      </c>
      <c r="H131" s="149">
        <v>84</v>
      </c>
      <c r="I131" s="150">
        <v>2</v>
      </c>
      <c r="J131" s="150">
        <v>9</v>
      </c>
      <c r="K131" s="150">
        <v>535</v>
      </c>
      <c r="L131" s="149">
        <v>168</v>
      </c>
    </row>
    <row r="132" spans="1:12">
      <c r="A132" s="147" t="s">
        <v>235</v>
      </c>
      <c r="B132" s="147">
        <v>10211316</v>
      </c>
      <c r="C132" s="147" t="s">
        <v>138</v>
      </c>
      <c r="D132" s="147" t="s">
        <v>158</v>
      </c>
      <c r="E132" s="147" t="s">
        <v>99</v>
      </c>
      <c r="F132" s="148" t="s">
        <v>255</v>
      </c>
      <c r="G132" s="147" t="s">
        <v>139</v>
      </c>
      <c r="H132" s="149">
        <v>84</v>
      </c>
      <c r="I132" s="150">
        <v>1</v>
      </c>
      <c r="J132" s="150">
        <v>4.5</v>
      </c>
      <c r="K132" s="150">
        <v>235</v>
      </c>
      <c r="L132" s="149">
        <v>84</v>
      </c>
    </row>
    <row r="133" spans="1:12">
      <c r="A133" s="147" t="s">
        <v>235</v>
      </c>
      <c r="B133" s="147">
        <v>10211316</v>
      </c>
      <c r="C133" s="147" t="s">
        <v>138</v>
      </c>
      <c r="D133" s="147" t="s">
        <v>158</v>
      </c>
      <c r="E133" s="147" t="s">
        <v>99</v>
      </c>
      <c r="F133" s="148" t="s">
        <v>256</v>
      </c>
      <c r="G133" s="147" t="s">
        <v>139</v>
      </c>
      <c r="H133" s="149">
        <v>84</v>
      </c>
      <c r="I133" s="150">
        <v>2</v>
      </c>
      <c r="J133" s="150">
        <v>9</v>
      </c>
      <c r="K133" s="150">
        <v>850</v>
      </c>
      <c r="L133" s="149">
        <v>168</v>
      </c>
    </row>
    <row r="134" spans="1:12">
      <c r="A134" s="147" t="s">
        <v>235</v>
      </c>
      <c r="B134" s="147">
        <v>10211316</v>
      </c>
      <c r="C134" s="147" t="s">
        <v>138</v>
      </c>
      <c r="D134" s="147" t="s">
        <v>158</v>
      </c>
      <c r="E134" s="147" t="s">
        <v>99</v>
      </c>
      <c r="F134" s="148" t="s">
        <v>257</v>
      </c>
      <c r="G134" s="147" t="s">
        <v>139</v>
      </c>
      <c r="H134" s="149">
        <v>84</v>
      </c>
      <c r="I134" s="150">
        <v>2</v>
      </c>
      <c r="J134" s="150">
        <v>9</v>
      </c>
      <c r="K134" s="150">
        <v>755</v>
      </c>
      <c r="L134" s="149">
        <v>168</v>
      </c>
    </row>
    <row r="135" spans="1:12">
      <c r="A135" s="147" t="s">
        <v>235</v>
      </c>
      <c r="B135" s="147">
        <v>10211316</v>
      </c>
      <c r="C135" s="147" t="s">
        <v>138</v>
      </c>
      <c r="D135" s="147" t="s">
        <v>158</v>
      </c>
      <c r="E135" s="147" t="s">
        <v>99</v>
      </c>
      <c r="F135" s="148" t="s">
        <v>258</v>
      </c>
      <c r="G135" s="147" t="s">
        <v>139</v>
      </c>
      <c r="H135" s="149">
        <v>84</v>
      </c>
      <c r="I135" s="150">
        <v>2</v>
      </c>
      <c r="J135" s="150">
        <v>9</v>
      </c>
      <c r="K135" s="150">
        <v>565</v>
      </c>
      <c r="L135" s="149">
        <v>168</v>
      </c>
    </row>
    <row r="136" spans="1:12">
      <c r="A136" s="147" t="s">
        <v>235</v>
      </c>
      <c r="B136" s="147">
        <v>10211316</v>
      </c>
      <c r="C136" s="147" t="s">
        <v>138</v>
      </c>
      <c r="D136" s="147" t="s">
        <v>158</v>
      </c>
      <c r="E136" s="147" t="s">
        <v>99</v>
      </c>
      <c r="F136" s="148" t="s">
        <v>259</v>
      </c>
      <c r="G136" s="147" t="s">
        <v>139</v>
      </c>
      <c r="H136" s="149">
        <v>84</v>
      </c>
      <c r="I136" s="150">
        <v>2</v>
      </c>
      <c r="J136" s="150">
        <v>9</v>
      </c>
      <c r="K136" s="150">
        <v>730</v>
      </c>
      <c r="L136" s="149">
        <v>168</v>
      </c>
    </row>
    <row r="137" spans="1:12">
      <c r="A137" s="147" t="s">
        <v>235</v>
      </c>
      <c r="B137" s="147">
        <v>10211316</v>
      </c>
      <c r="C137" s="147" t="s">
        <v>138</v>
      </c>
      <c r="D137" s="147" t="s">
        <v>158</v>
      </c>
      <c r="E137" s="147" t="s">
        <v>99</v>
      </c>
      <c r="F137" s="148" t="s">
        <v>260</v>
      </c>
      <c r="G137" s="147" t="s">
        <v>139</v>
      </c>
      <c r="H137" s="149">
        <v>84</v>
      </c>
      <c r="I137" s="150">
        <v>2</v>
      </c>
      <c r="J137" s="150">
        <v>9</v>
      </c>
      <c r="K137" s="150">
        <v>261</v>
      </c>
      <c r="L137" s="149">
        <v>168</v>
      </c>
    </row>
    <row r="138" spans="1:12">
      <c r="A138" s="147" t="s">
        <v>235</v>
      </c>
      <c r="B138" s="147">
        <v>10239765</v>
      </c>
      <c r="C138" s="147" t="s">
        <v>138</v>
      </c>
      <c r="D138" s="147" t="s">
        <v>158</v>
      </c>
      <c r="E138" s="147" t="s">
        <v>99</v>
      </c>
      <c r="F138" s="148" t="s">
        <v>261</v>
      </c>
      <c r="G138" s="147" t="s">
        <v>146</v>
      </c>
      <c r="H138" s="149">
        <v>150</v>
      </c>
      <c r="I138" s="150">
        <v>1</v>
      </c>
      <c r="J138" s="150">
        <v>0</v>
      </c>
      <c r="K138" s="150">
        <v>0</v>
      </c>
      <c r="L138" s="149">
        <v>150</v>
      </c>
    </row>
    <row r="139" spans="1:12">
      <c r="A139" s="147" t="s">
        <v>262</v>
      </c>
      <c r="B139" s="147">
        <v>10211316</v>
      </c>
      <c r="C139" s="147" t="s">
        <v>138</v>
      </c>
      <c r="D139" s="147" t="s">
        <v>158</v>
      </c>
      <c r="E139" s="147" t="s">
        <v>99</v>
      </c>
      <c r="F139" s="148" t="s">
        <v>263</v>
      </c>
      <c r="G139" s="147" t="s">
        <v>139</v>
      </c>
      <c r="H139" s="149">
        <v>84</v>
      </c>
      <c r="I139" s="150">
        <v>1</v>
      </c>
      <c r="J139" s="150">
        <v>4.5</v>
      </c>
      <c r="K139" s="150">
        <v>215</v>
      </c>
      <c r="L139" s="149">
        <v>84</v>
      </c>
    </row>
    <row r="140" spans="1:12">
      <c r="A140" s="147" t="s">
        <v>262</v>
      </c>
      <c r="B140" s="147">
        <v>10211316</v>
      </c>
      <c r="C140" s="147" t="s">
        <v>138</v>
      </c>
      <c r="D140" s="147" t="s">
        <v>158</v>
      </c>
      <c r="E140" s="147" t="s">
        <v>99</v>
      </c>
      <c r="F140" s="148" t="s">
        <v>264</v>
      </c>
      <c r="G140" s="147" t="s">
        <v>139</v>
      </c>
      <c r="H140" s="149">
        <v>84</v>
      </c>
      <c r="I140" s="150">
        <v>2</v>
      </c>
      <c r="J140" s="150">
        <v>9</v>
      </c>
      <c r="K140" s="150">
        <v>915</v>
      </c>
      <c r="L140" s="149">
        <v>168</v>
      </c>
    </row>
    <row r="141" spans="1:12">
      <c r="A141" s="147" t="s">
        <v>262</v>
      </c>
      <c r="B141" s="147">
        <v>10211316</v>
      </c>
      <c r="C141" s="147" t="s">
        <v>138</v>
      </c>
      <c r="D141" s="147" t="s">
        <v>158</v>
      </c>
      <c r="E141" s="147" t="s">
        <v>99</v>
      </c>
      <c r="F141" s="148" t="s">
        <v>265</v>
      </c>
      <c r="G141" s="147" t="s">
        <v>139</v>
      </c>
      <c r="H141" s="149">
        <v>84</v>
      </c>
      <c r="I141" s="150">
        <v>2</v>
      </c>
      <c r="J141" s="150">
        <v>9</v>
      </c>
      <c r="K141" s="150">
        <v>670</v>
      </c>
      <c r="L141" s="149">
        <v>168</v>
      </c>
    </row>
    <row r="142" spans="1:12">
      <c r="A142" s="147" t="s">
        <v>262</v>
      </c>
      <c r="B142" s="147">
        <v>10211316</v>
      </c>
      <c r="C142" s="147" t="s">
        <v>138</v>
      </c>
      <c r="D142" s="147" t="s">
        <v>158</v>
      </c>
      <c r="E142" s="147" t="s">
        <v>99</v>
      </c>
      <c r="F142" s="148" t="s">
        <v>266</v>
      </c>
      <c r="G142" s="147" t="s">
        <v>139</v>
      </c>
      <c r="H142" s="149">
        <v>84</v>
      </c>
      <c r="I142" s="150">
        <v>2</v>
      </c>
      <c r="J142" s="150">
        <v>9</v>
      </c>
      <c r="K142" s="150">
        <v>650</v>
      </c>
      <c r="L142" s="149">
        <v>168</v>
      </c>
    </row>
    <row r="143" spans="1:12">
      <c r="A143" s="147" t="s">
        <v>262</v>
      </c>
      <c r="B143" s="147">
        <v>10211316</v>
      </c>
      <c r="C143" s="147" t="s">
        <v>138</v>
      </c>
      <c r="D143" s="147" t="s">
        <v>158</v>
      </c>
      <c r="E143" s="147" t="s">
        <v>99</v>
      </c>
      <c r="F143" s="148" t="s">
        <v>267</v>
      </c>
      <c r="G143" s="147" t="s">
        <v>139</v>
      </c>
      <c r="H143" s="149">
        <v>84</v>
      </c>
      <c r="I143" s="150">
        <v>2</v>
      </c>
      <c r="J143" s="150">
        <v>9</v>
      </c>
      <c r="K143" s="150">
        <v>261</v>
      </c>
      <c r="L143" s="149">
        <v>168</v>
      </c>
    </row>
    <row r="144" spans="1:12">
      <c r="A144" s="147" t="s">
        <v>262</v>
      </c>
      <c r="B144" s="147">
        <v>10211316</v>
      </c>
      <c r="C144" s="147" t="s">
        <v>138</v>
      </c>
      <c r="D144" s="147" t="s">
        <v>158</v>
      </c>
      <c r="E144" s="147" t="s">
        <v>99</v>
      </c>
      <c r="F144" s="148" t="s">
        <v>268</v>
      </c>
      <c r="G144" s="147" t="s">
        <v>139</v>
      </c>
      <c r="H144" s="149">
        <v>84</v>
      </c>
      <c r="I144" s="150">
        <v>1</v>
      </c>
      <c r="J144" s="150">
        <v>4.5</v>
      </c>
      <c r="K144" s="150">
        <v>255</v>
      </c>
      <c r="L144" s="149">
        <v>84</v>
      </c>
    </row>
    <row r="145" spans="1:12">
      <c r="A145" s="147" t="s">
        <v>262</v>
      </c>
      <c r="B145" s="147">
        <v>10211316</v>
      </c>
      <c r="C145" s="147" t="s">
        <v>138</v>
      </c>
      <c r="D145" s="147" t="s">
        <v>158</v>
      </c>
      <c r="E145" s="147" t="s">
        <v>99</v>
      </c>
      <c r="F145" s="148" t="s">
        <v>269</v>
      </c>
      <c r="G145" s="147" t="s">
        <v>139</v>
      </c>
      <c r="H145" s="149">
        <v>84</v>
      </c>
      <c r="I145" s="150">
        <v>2</v>
      </c>
      <c r="J145" s="150">
        <v>9</v>
      </c>
      <c r="K145" s="150">
        <v>261</v>
      </c>
      <c r="L145" s="149">
        <v>168</v>
      </c>
    </row>
    <row r="146" spans="1:12">
      <c r="A146" s="147" t="s">
        <v>262</v>
      </c>
      <c r="B146" s="147">
        <v>10211316</v>
      </c>
      <c r="C146" s="147" t="s">
        <v>138</v>
      </c>
      <c r="D146" s="147" t="s">
        <v>158</v>
      </c>
      <c r="E146" s="147" t="s">
        <v>99</v>
      </c>
      <c r="F146" s="148" t="s">
        <v>270</v>
      </c>
      <c r="G146" s="147" t="s">
        <v>139</v>
      </c>
      <c r="H146" s="149">
        <v>84</v>
      </c>
      <c r="I146" s="150">
        <v>2</v>
      </c>
      <c r="J146" s="150">
        <v>9</v>
      </c>
      <c r="K146" s="150">
        <v>1155</v>
      </c>
      <c r="L146" s="149">
        <v>168</v>
      </c>
    </row>
    <row r="147" spans="1:12">
      <c r="A147" s="147" t="s">
        <v>262</v>
      </c>
      <c r="B147" s="147">
        <v>10211316</v>
      </c>
      <c r="C147" s="147" t="s">
        <v>138</v>
      </c>
      <c r="D147" s="147" t="s">
        <v>158</v>
      </c>
      <c r="E147" s="147" t="s">
        <v>99</v>
      </c>
      <c r="F147" s="148" t="s">
        <v>271</v>
      </c>
      <c r="G147" s="147" t="s">
        <v>139</v>
      </c>
      <c r="H147" s="149">
        <v>84</v>
      </c>
      <c r="I147" s="150">
        <v>2</v>
      </c>
      <c r="J147" s="150">
        <v>9</v>
      </c>
      <c r="K147" s="150">
        <v>590</v>
      </c>
      <c r="L147" s="149">
        <v>168</v>
      </c>
    </row>
    <row r="148" spans="1:12">
      <c r="A148" s="147" t="s">
        <v>262</v>
      </c>
      <c r="B148" s="147">
        <v>10211316</v>
      </c>
      <c r="C148" s="147" t="s">
        <v>138</v>
      </c>
      <c r="D148" s="147" t="s">
        <v>158</v>
      </c>
      <c r="E148" s="147" t="s">
        <v>99</v>
      </c>
      <c r="F148" s="148" t="s">
        <v>272</v>
      </c>
      <c r="G148" s="147" t="s">
        <v>139</v>
      </c>
      <c r="H148" s="149">
        <v>84</v>
      </c>
      <c r="I148" s="150">
        <v>2</v>
      </c>
      <c r="J148" s="150">
        <v>9</v>
      </c>
      <c r="K148" s="150">
        <v>825</v>
      </c>
      <c r="L148" s="149">
        <v>168</v>
      </c>
    </row>
    <row r="149" spans="1:12">
      <c r="A149" s="147" t="s">
        <v>262</v>
      </c>
      <c r="B149" s="147">
        <v>10211316</v>
      </c>
      <c r="C149" s="147" t="s">
        <v>138</v>
      </c>
      <c r="D149" s="147" t="s">
        <v>158</v>
      </c>
      <c r="E149" s="147" t="s">
        <v>99</v>
      </c>
      <c r="F149" s="148" t="s">
        <v>273</v>
      </c>
      <c r="G149" s="147" t="s">
        <v>139</v>
      </c>
      <c r="H149" s="149">
        <v>84</v>
      </c>
      <c r="I149" s="150">
        <v>2</v>
      </c>
      <c r="J149" s="150">
        <v>9</v>
      </c>
      <c r="K149" s="150">
        <v>960</v>
      </c>
      <c r="L149" s="149">
        <v>168</v>
      </c>
    </row>
    <row r="150" spans="1:12">
      <c r="A150" s="147" t="s">
        <v>262</v>
      </c>
      <c r="B150" s="147">
        <v>10211316</v>
      </c>
      <c r="C150" s="147" t="s">
        <v>138</v>
      </c>
      <c r="D150" s="147" t="s">
        <v>158</v>
      </c>
      <c r="E150" s="147" t="s">
        <v>99</v>
      </c>
      <c r="F150" s="148" t="s">
        <v>274</v>
      </c>
      <c r="G150" s="147" t="s">
        <v>139</v>
      </c>
      <c r="H150" s="149">
        <v>84</v>
      </c>
      <c r="I150" s="150">
        <v>2</v>
      </c>
      <c r="J150" s="150">
        <v>9</v>
      </c>
      <c r="K150" s="150">
        <v>625</v>
      </c>
      <c r="L150" s="149">
        <v>168</v>
      </c>
    </row>
    <row r="151" spans="1:12">
      <c r="A151" s="147" t="s">
        <v>262</v>
      </c>
      <c r="B151" s="147">
        <v>10211316</v>
      </c>
      <c r="C151" s="147" t="s">
        <v>138</v>
      </c>
      <c r="D151" s="147" t="s">
        <v>158</v>
      </c>
      <c r="E151" s="147" t="s">
        <v>99</v>
      </c>
      <c r="F151" s="148" t="s">
        <v>275</v>
      </c>
      <c r="G151" s="147" t="s">
        <v>139</v>
      </c>
      <c r="H151" s="149">
        <v>84</v>
      </c>
      <c r="I151" s="150">
        <v>2</v>
      </c>
      <c r="J151" s="150">
        <v>9</v>
      </c>
      <c r="K151" s="150">
        <v>200</v>
      </c>
      <c r="L151" s="149">
        <v>168</v>
      </c>
    </row>
    <row r="152" spans="1:12">
      <c r="A152" s="147" t="s">
        <v>262</v>
      </c>
      <c r="B152" s="147">
        <v>10211316</v>
      </c>
      <c r="C152" s="147" t="s">
        <v>138</v>
      </c>
      <c r="D152" s="147" t="s">
        <v>158</v>
      </c>
      <c r="E152" s="147" t="s">
        <v>99</v>
      </c>
      <c r="F152" s="148" t="s">
        <v>276</v>
      </c>
      <c r="G152" s="147" t="s">
        <v>139</v>
      </c>
      <c r="H152" s="149">
        <v>84</v>
      </c>
      <c r="I152" s="150">
        <v>2</v>
      </c>
      <c r="J152" s="150">
        <v>9</v>
      </c>
      <c r="K152" s="150">
        <v>950</v>
      </c>
      <c r="L152" s="149">
        <v>168</v>
      </c>
    </row>
    <row r="153" spans="1:12">
      <c r="A153" s="147" t="s">
        <v>262</v>
      </c>
      <c r="B153" s="147">
        <v>10211316</v>
      </c>
      <c r="C153" s="147" t="s">
        <v>138</v>
      </c>
      <c r="D153" s="147" t="s">
        <v>158</v>
      </c>
      <c r="E153" s="147" t="s">
        <v>99</v>
      </c>
      <c r="F153" s="148" t="s">
        <v>277</v>
      </c>
      <c r="G153" s="147" t="s">
        <v>139</v>
      </c>
      <c r="H153" s="149">
        <v>84</v>
      </c>
      <c r="I153" s="150">
        <v>2</v>
      </c>
      <c r="J153" s="150">
        <v>9</v>
      </c>
      <c r="K153" s="150">
        <v>355</v>
      </c>
      <c r="L153" s="149">
        <v>168</v>
      </c>
    </row>
    <row r="154" spans="1:12">
      <c r="A154" s="147" t="s">
        <v>262</v>
      </c>
      <c r="B154" s="147">
        <v>10211316</v>
      </c>
      <c r="C154" s="147" t="s">
        <v>138</v>
      </c>
      <c r="D154" s="147" t="s">
        <v>158</v>
      </c>
      <c r="E154" s="147" t="s">
        <v>99</v>
      </c>
      <c r="F154" s="148" t="s">
        <v>278</v>
      </c>
      <c r="G154" s="147" t="s">
        <v>139</v>
      </c>
      <c r="H154" s="149">
        <v>84</v>
      </c>
      <c r="I154" s="150">
        <v>2</v>
      </c>
      <c r="J154" s="150">
        <v>9</v>
      </c>
      <c r="K154" s="150">
        <v>1145</v>
      </c>
      <c r="L154" s="149">
        <v>168</v>
      </c>
    </row>
    <row r="155" spans="1:12">
      <c r="A155" s="147" t="s">
        <v>262</v>
      </c>
      <c r="B155" s="147">
        <v>10211316</v>
      </c>
      <c r="C155" s="147" t="s">
        <v>138</v>
      </c>
      <c r="D155" s="147" t="s">
        <v>158</v>
      </c>
      <c r="E155" s="147" t="s">
        <v>99</v>
      </c>
      <c r="F155" s="148" t="s">
        <v>279</v>
      </c>
      <c r="G155" s="147" t="s">
        <v>139</v>
      </c>
      <c r="H155" s="149">
        <v>84</v>
      </c>
      <c r="I155" s="150">
        <v>2</v>
      </c>
      <c r="J155" s="150">
        <v>9</v>
      </c>
      <c r="K155" s="150">
        <v>760</v>
      </c>
      <c r="L155" s="149">
        <v>168</v>
      </c>
    </row>
    <row r="156" spans="1:12">
      <c r="A156" s="147" t="s">
        <v>262</v>
      </c>
      <c r="B156" s="147">
        <v>10211316</v>
      </c>
      <c r="C156" s="147" t="s">
        <v>138</v>
      </c>
      <c r="D156" s="147" t="s">
        <v>158</v>
      </c>
      <c r="E156" s="147" t="s">
        <v>99</v>
      </c>
      <c r="F156" s="148" t="s">
        <v>280</v>
      </c>
      <c r="G156" s="147" t="s">
        <v>139</v>
      </c>
      <c r="H156" s="149">
        <v>84</v>
      </c>
      <c r="I156" s="150">
        <v>2</v>
      </c>
      <c r="J156" s="150">
        <v>9</v>
      </c>
      <c r="K156" s="150">
        <v>1110</v>
      </c>
      <c r="L156" s="149">
        <v>168</v>
      </c>
    </row>
    <row r="157" spans="1:12">
      <c r="A157" s="147" t="s">
        <v>262</v>
      </c>
      <c r="B157" s="147">
        <v>10211316</v>
      </c>
      <c r="C157" s="147" t="s">
        <v>138</v>
      </c>
      <c r="D157" s="147" t="s">
        <v>158</v>
      </c>
      <c r="E157" s="147" t="s">
        <v>99</v>
      </c>
      <c r="F157" s="148" t="s">
        <v>281</v>
      </c>
      <c r="G157" s="147" t="s">
        <v>139</v>
      </c>
      <c r="H157" s="149">
        <v>84</v>
      </c>
      <c r="I157" s="150">
        <v>2</v>
      </c>
      <c r="J157" s="150">
        <v>9</v>
      </c>
      <c r="K157" s="150">
        <v>245</v>
      </c>
      <c r="L157" s="149">
        <v>168</v>
      </c>
    </row>
    <row r="158" spans="1:12">
      <c r="A158" s="147" t="s">
        <v>262</v>
      </c>
      <c r="B158" s="147">
        <v>10211316</v>
      </c>
      <c r="C158" s="147" t="s">
        <v>138</v>
      </c>
      <c r="D158" s="147" t="s">
        <v>158</v>
      </c>
      <c r="E158" s="147" t="s">
        <v>99</v>
      </c>
      <c r="F158" s="148" t="s">
        <v>282</v>
      </c>
      <c r="G158" s="147" t="s">
        <v>139</v>
      </c>
      <c r="H158" s="149">
        <v>84</v>
      </c>
      <c r="I158" s="150">
        <v>2</v>
      </c>
      <c r="J158" s="150">
        <v>9</v>
      </c>
      <c r="K158" s="150">
        <v>1110</v>
      </c>
      <c r="L158" s="149">
        <v>168</v>
      </c>
    </row>
    <row r="159" spans="1:12">
      <c r="A159" s="147" t="s">
        <v>262</v>
      </c>
      <c r="B159" s="147">
        <v>10211316</v>
      </c>
      <c r="C159" s="147" t="s">
        <v>138</v>
      </c>
      <c r="D159" s="147" t="s">
        <v>158</v>
      </c>
      <c r="E159" s="147" t="s">
        <v>99</v>
      </c>
      <c r="F159" s="148" t="s">
        <v>283</v>
      </c>
      <c r="G159" s="147" t="s">
        <v>139</v>
      </c>
      <c r="H159" s="149">
        <v>84</v>
      </c>
      <c r="I159" s="150">
        <v>2</v>
      </c>
      <c r="J159" s="150">
        <v>9</v>
      </c>
      <c r="K159" s="150">
        <v>261</v>
      </c>
      <c r="L159" s="149">
        <v>168</v>
      </c>
    </row>
    <row r="160" spans="1:12">
      <c r="A160" s="147" t="s">
        <v>262</v>
      </c>
      <c r="B160" s="147">
        <v>10211316</v>
      </c>
      <c r="C160" s="147" t="s">
        <v>138</v>
      </c>
      <c r="D160" s="147" t="s">
        <v>158</v>
      </c>
      <c r="E160" s="147" t="s">
        <v>99</v>
      </c>
      <c r="F160" s="148" t="s">
        <v>284</v>
      </c>
      <c r="G160" s="147" t="s">
        <v>139</v>
      </c>
      <c r="H160" s="149">
        <v>84</v>
      </c>
      <c r="I160" s="150">
        <v>2</v>
      </c>
      <c r="J160" s="150">
        <v>9</v>
      </c>
      <c r="K160" s="150">
        <v>935</v>
      </c>
      <c r="L160" s="149">
        <v>168</v>
      </c>
    </row>
    <row r="161" spans="1:12">
      <c r="A161" s="147" t="s">
        <v>262</v>
      </c>
      <c r="B161" s="147">
        <v>10211316</v>
      </c>
      <c r="C161" s="147" t="s">
        <v>138</v>
      </c>
      <c r="D161" s="147" t="s">
        <v>158</v>
      </c>
      <c r="E161" s="147" t="s">
        <v>99</v>
      </c>
      <c r="F161" s="148" t="s">
        <v>285</v>
      </c>
      <c r="G161" s="147" t="s">
        <v>139</v>
      </c>
      <c r="H161" s="149">
        <v>84</v>
      </c>
      <c r="I161" s="150">
        <v>2</v>
      </c>
      <c r="J161" s="150">
        <v>9</v>
      </c>
      <c r="K161" s="150">
        <v>595</v>
      </c>
      <c r="L161" s="149">
        <v>168</v>
      </c>
    </row>
    <row r="162" spans="1:12">
      <c r="A162" s="147" t="s">
        <v>262</v>
      </c>
      <c r="B162" s="147">
        <v>10211316</v>
      </c>
      <c r="C162" s="147" t="s">
        <v>138</v>
      </c>
      <c r="D162" s="147" t="s">
        <v>158</v>
      </c>
      <c r="E162" s="147" t="s">
        <v>99</v>
      </c>
      <c r="F162" s="148" t="s">
        <v>286</v>
      </c>
      <c r="G162" s="147" t="s">
        <v>139</v>
      </c>
      <c r="H162" s="149">
        <v>84</v>
      </c>
      <c r="I162" s="150">
        <v>2</v>
      </c>
      <c r="J162" s="150">
        <v>9</v>
      </c>
      <c r="K162" s="150">
        <v>1310</v>
      </c>
      <c r="L162" s="149">
        <v>168</v>
      </c>
    </row>
    <row r="163" spans="1:12">
      <c r="A163" s="147" t="s">
        <v>262</v>
      </c>
      <c r="B163" s="147">
        <v>10211316</v>
      </c>
      <c r="C163" s="147" t="s">
        <v>138</v>
      </c>
      <c r="D163" s="147" t="s">
        <v>158</v>
      </c>
      <c r="E163" s="147" t="s">
        <v>99</v>
      </c>
      <c r="F163" s="148" t="s">
        <v>287</v>
      </c>
      <c r="G163" s="147" t="s">
        <v>139</v>
      </c>
      <c r="H163" s="149">
        <v>84</v>
      </c>
      <c r="I163" s="150">
        <v>2</v>
      </c>
      <c r="J163" s="150">
        <v>9</v>
      </c>
      <c r="K163" s="150">
        <v>1080</v>
      </c>
      <c r="L163" s="149">
        <v>168</v>
      </c>
    </row>
    <row r="164" spans="1:12">
      <c r="A164" s="147" t="s">
        <v>262</v>
      </c>
      <c r="B164" s="147">
        <v>10211316</v>
      </c>
      <c r="C164" s="147" t="s">
        <v>138</v>
      </c>
      <c r="D164" s="147" t="s">
        <v>158</v>
      </c>
      <c r="E164" s="147" t="s">
        <v>99</v>
      </c>
      <c r="F164" s="148" t="s">
        <v>288</v>
      </c>
      <c r="G164" s="147" t="s">
        <v>139</v>
      </c>
      <c r="H164" s="149">
        <v>84</v>
      </c>
      <c r="I164" s="150">
        <v>1</v>
      </c>
      <c r="J164" s="150">
        <v>4.5</v>
      </c>
      <c r="K164" s="150">
        <v>495</v>
      </c>
      <c r="L164" s="149">
        <v>84</v>
      </c>
    </row>
    <row r="165" spans="1:12">
      <c r="A165" s="147" t="s">
        <v>262</v>
      </c>
      <c r="B165" s="147">
        <v>10239765</v>
      </c>
      <c r="C165" s="147" t="s">
        <v>138</v>
      </c>
      <c r="D165" s="147" t="s">
        <v>158</v>
      </c>
      <c r="E165" s="147" t="s">
        <v>99</v>
      </c>
      <c r="F165" s="148" t="s">
        <v>286</v>
      </c>
      <c r="G165" s="147" t="s">
        <v>146</v>
      </c>
      <c r="H165" s="149">
        <v>150</v>
      </c>
      <c r="I165" s="150">
        <v>1</v>
      </c>
      <c r="J165" s="150">
        <v>0</v>
      </c>
      <c r="K165" s="150">
        <v>0</v>
      </c>
      <c r="L165" s="149">
        <v>150</v>
      </c>
    </row>
    <row r="166" spans="1:12">
      <c r="A166" s="147" t="s">
        <v>289</v>
      </c>
      <c r="B166" s="147">
        <v>10211316</v>
      </c>
      <c r="C166" s="147" t="s">
        <v>138</v>
      </c>
      <c r="D166" s="147" t="s">
        <v>158</v>
      </c>
      <c r="E166" s="147" t="s">
        <v>99</v>
      </c>
      <c r="F166" s="148" t="s">
        <v>290</v>
      </c>
      <c r="G166" s="147" t="s">
        <v>140</v>
      </c>
      <c r="H166" s="149">
        <v>84</v>
      </c>
      <c r="I166" s="150">
        <v>1</v>
      </c>
      <c r="J166" s="150">
        <v>4.5</v>
      </c>
      <c r="K166" s="150">
        <v>0</v>
      </c>
      <c r="L166" s="149">
        <v>84</v>
      </c>
    </row>
    <row r="167" spans="1:12">
      <c r="A167" s="147" t="s">
        <v>289</v>
      </c>
      <c r="B167" s="147">
        <v>10211316</v>
      </c>
      <c r="C167" s="147" t="s">
        <v>138</v>
      </c>
      <c r="D167" s="147" t="s">
        <v>158</v>
      </c>
      <c r="E167" s="147" t="s">
        <v>99</v>
      </c>
      <c r="F167" s="148" t="s">
        <v>291</v>
      </c>
      <c r="G167" s="147" t="s">
        <v>140</v>
      </c>
      <c r="H167" s="149">
        <v>84</v>
      </c>
      <c r="I167" s="150">
        <v>3</v>
      </c>
      <c r="J167" s="150">
        <v>13.5</v>
      </c>
      <c r="K167" s="150">
        <v>0</v>
      </c>
      <c r="L167" s="149">
        <v>252</v>
      </c>
    </row>
    <row r="168" spans="1:12">
      <c r="A168" s="147" t="s">
        <v>289</v>
      </c>
      <c r="B168" s="147">
        <v>10211316</v>
      </c>
      <c r="C168" s="147" t="s">
        <v>138</v>
      </c>
      <c r="D168" s="147" t="s">
        <v>158</v>
      </c>
      <c r="E168" s="147" t="s">
        <v>99</v>
      </c>
      <c r="F168" s="148" t="s">
        <v>291</v>
      </c>
      <c r="G168" s="147" t="s">
        <v>139</v>
      </c>
      <c r="H168" s="149">
        <v>84</v>
      </c>
      <c r="I168" s="150">
        <v>-2</v>
      </c>
      <c r="J168" s="150">
        <v>-9</v>
      </c>
      <c r="K168" s="150">
        <v>310</v>
      </c>
      <c r="L168" s="149">
        <v>-168</v>
      </c>
    </row>
    <row r="169" spans="1:12">
      <c r="A169" s="147" t="s">
        <v>289</v>
      </c>
      <c r="B169" s="147">
        <v>10211316</v>
      </c>
      <c r="C169" s="147" t="s">
        <v>138</v>
      </c>
      <c r="D169" s="147" t="s">
        <v>158</v>
      </c>
      <c r="E169" s="147" t="s">
        <v>99</v>
      </c>
      <c r="F169" s="148" t="s">
        <v>292</v>
      </c>
      <c r="G169" s="147" t="s">
        <v>139</v>
      </c>
      <c r="H169" s="149">
        <v>84</v>
      </c>
      <c r="I169" s="150">
        <v>2</v>
      </c>
      <c r="J169" s="150">
        <v>9</v>
      </c>
      <c r="K169" s="150">
        <v>261</v>
      </c>
      <c r="L169" s="149">
        <v>168</v>
      </c>
    </row>
    <row r="170" spans="1:12">
      <c r="A170" s="147" t="s">
        <v>289</v>
      </c>
      <c r="B170" s="147">
        <v>10211316</v>
      </c>
      <c r="C170" s="147" t="s">
        <v>138</v>
      </c>
      <c r="D170" s="147" t="s">
        <v>158</v>
      </c>
      <c r="E170" s="147" t="s">
        <v>99</v>
      </c>
      <c r="F170" s="148" t="s">
        <v>293</v>
      </c>
      <c r="G170" s="147" t="s">
        <v>139</v>
      </c>
      <c r="H170" s="149">
        <v>84</v>
      </c>
      <c r="I170" s="150">
        <v>2</v>
      </c>
      <c r="J170" s="150">
        <v>9</v>
      </c>
      <c r="K170" s="150">
        <v>1271</v>
      </c>
      <c r="L170" s="149">
        <v>168</v>
      </c>
    </row>
    <row r="171" spans="1:12">
      <c r="A171" s="147" t="s">
        <v>289</v>
      </c>
      <c r="B171" s="147">
        <v>10211316</v>
      </c>
      <c r="C171" s="147" t="s">
        <v>138</v>
      </c>
      <c r="D171" s="147" t="s">
        <v>158</v>
      </c>
      <c r="E171" s="147" t="s">
        <v>99</v>
      </c>
      <c r="F171" s="148" t="s">
        <v>294</v>
      </c>
      <c r="G171" s="147" t="s">
        <v>139</v>
      </c>
      <c r="H171" s="149">
        <v>84</v>
      </c>
      <c r="I171" s="150">
        <v>2</v>
      </c>
      <c r="J171" s="150">
        <v>9</v>
      </c>
      <c r="K171" s="150">
        <v>261</v>
      </c>
      <c r="L171" s="149">
        <v>168</v>
      </c>
    </row>
    <row r="172" spans="1:12">
      <c r="A172" s="147" t="s">
        <v>289</v>
      </c>
      <c r="B172" s="147">
        <v>10211316</v>
      </c>
      <c r="C172" s="147" t="s">
        <v>138</v>
      </c>
      <c r="D172" s="147" t="s">
        <v>158</v>
      </c>
      <c r="E172" s="147" t="s">
        <v>99</v>
      </c>
      <c r="F172" s="148" t="s">
        <v>295</v>
      </c>
      <c r="G172" s="147" t="s">
        <v>139</v>
      </c>
      <c r="H172" s="149">
        <v>84</v>
      </c>
      <c r="I172" s="150">
        <v>2</v>
      </c>
      <c r="J172" s="150">
        <v>9</v>
      </c>
      <c r="K172" s="150">
        <v>285</v>
      </c>
      <c r="L172" s="149">
        <v>168</v>
      </c>
    </row>
    <row r="173" spans="1:12">
      <c r="A173" s="147" t="s">
        <v>289</v>
      </c>
      <c r="B173" s="147">
        <v>10211316</v>
      </c>
      <c r="C173" s="147" t="s">
        <v>138</v>
      </c>
      <c r="D173" s="147" t="s">
        <v>158</v>
      </c>
      <c r="E173" s="147" t="s">
        <v>99</v>
      </c>
      <c r="F173" s="148" t="s">
        <v>296</v>
      </c>
      <c r="G173" s="147" t="s">
        <v>139</v>
      </c>
      <c r="H173" s="149">
        <v>84</v>
      </c>
      <c r="I173" s="150">
        <v>2</v>
      </c>
      <c r="J173" s="150">
        <v>9</v>
      </c>
      <c r="K173" s="150">
        <v>105</v>
      </c>
      <c r="L173" s="149">
        <v>168</v>
      </c>
    </row>
    <row r="174" spans="1:12">
      <c r="A174" s="147" t="s">
        <v>289</v>
      </c>
      <c r="B174" s="147">
        <v>10211316</v>
      </c>
      <c r="C174" s="147" t="s">
        <v>138</v>
      </c>
      <c r="D174" s="147" t="s">
        <v>158</v>
      </c>
      <c r="E174" s="147" t="s">
        <v>99</v>
      </c>
      <c r="F174" s="148" t="s">
        <v>297</v>
      </c>
      <c r="G174" s="147" t="s">
        <v>139</v>
      </c>
      <c r="H174" s="149">
        <v>84</v>
      </c>
      <c r="I174" s="150">
        <v>2</v>
      </c>
      <c r="J174" s="150">
        <v>9</v>
      </c>
      <c r="K174" s="150">
        <v>700</v>
      </c>
      <c r="L174" s="149">
        <v>168</v>
      </c>
    </row>
    <row r="175" spans="1:12">
      <c r="A175" s="147" t="s">
        <v>289</v>
      </c>
      <c r="B175" s="147">
        <v>10211316</v>
      </c>
      <c r="C175" s="147" t="s">
        <v>138</v>
      </c>
      <c r="D175" s="147" t="s">
        <v>158</v>
      </c>
      <c r="E175" s="147" t="s">
        <v>99</v>
      </c>
      <c r="F175" s="148" t="s">
        <v>298</v>
      </c>
      <c r="G175" s="147" t="s">
        <v>139</v>
      </c>
      <c r="H175" s="149">
        <v>84</v>
      </c>
      <c r="I175" s="150">
        <v>2</v>
      </c>
      <c r="J175" s="150">
        <v>9</v>
      </c>
      <c r="K175" s="150">
        <v>395</v>
      </c>
      <c r="L175" s="149">
        <v>168</v>
      </c>
    </row>
    <row r="176" spans="1:12">
      <c r="A176" s="147" t="s">
        <v>289</v>
      </c>
      <c r="B176" s="147">
        <v>10211316</v>
      </c>
      <c r="C176" s="147" t="s">
        <v>138</v>
      </c>
      <c r="D176" s="147" t="s">
        <v>158</v>
      </c>
      <c r="E176" s="147" t="s">
        <v>99</v>
      </c>
      <c r="F176" s="148" t="s">
        <v>299</v>
      </c>
      <c r="G176" s="147" t="s">
        <v>139</v>
      </c>
      <c r="H176" s="149">
        <v>84</v>
      </c>
      <c r="I176" s="150">
        <v>1</v>
      </c>
      <c r="J176" s="150">
        <v>4.5</v>
      </c>
      <c r="K176" s="150">
        <v>130.5</v>
      </c>
      <c r="L176" s="149">
        <v>84</v>
      </c>
    </row>
    <row r="177" spans="1:12">
      <c r="A177" s="147" t="s">
        <v>289</v>
      </c>
      <c r="B177" s="147">
        <v>10211316</v>
      </c>
      <c r="C177" s="147" t="s">
        <v>138</v>
      </c>
      <c r="D177" s="147" t="s">
        <v>158</v>
      </c>
      <c r="E177" s="147" t="s">
        <v>99</v>
      </c>
      <c r="F177" s="148" t="s">
        <v>300</v>
      </c>
      <c r="G177" s="147" t="s">
        <v>139</v>
      </c>
      <c r="H177" s="149">
        <v>84</v>
      </c>
      <c r="I177" s="150">
        <v>2</v>
      </c>
      <c r="J177" s="150">
        <v>9</v>
      </c>
      <c r="K177" s="150">
        <v>550</v>
      </c>
      <c r="L177" s="149">
        <v>168</v>
      </c>
    </row>
    <row r="178" spans="1:12">
      <c r="A178" s="147" t="s">
        <v>289</v>
      </c>
      <c r="B178" s="147">
        <v>10211316</v>
      </c>
      <c r="C178" s="147" t="s">
        <v>138</v>
      </c>
      <c r="D178" s="147" t="s">
        <v>158</v>
      </c>
      <c r="E178" s="147" t="s">
        <v>99</v>
      </c>
      <c r="F178" s="148" t="s">
        <v>301</v>
      </c>
      <c r="G178" s="147" t="s">
        <v>139</v>
      </c>
      <c r="H178" s="149">
        <v>84</v>
      </c>
      <c r="I178" s="150">
        <v>2</v>
      </c>
      <c r="J178" s="150">
        <v>9</v>
      </c>
      <c r="K178" s="150">
        <v>635</v>
      </c>
      <c r="L178" s="149">
        <v>168</v>
      </c>
    </row>
    <row r="179" spans="1:12">
      <c r="A179" s="147" t="s">
        <v>289</v>
      </c>
      <c r="B179" s="147">
        <v>10211316</v>
      </c>
      <c r="C179" s="147" t="s">
        <v>138</v>
      </c>
      <c r="D179" s="147" t="s">
        <v>158</v>
      </c>
      <c r="E179" s="147" t="s">
        <v>99</v>
      </c>
      <c r="F179" s="148" t="s">
        <v>302</v>
      </c>
      <c r="G179" s="147" t="s">
        <v>139</v>
      </c>
      <c r="H179" s="149">
        <v>84</v>
      </c>
      <c r="I179" s="150">
        <v>2</v>
      </c>
      <c r="J179" s="150">
        <v>9</v>
      </c>
      <c r="K179" s="150">
        <v>595</v>
      </c>
      <c r="L179" s="149">
        <v>168</v>
      </c>
    </row>
    <row r="180" spans="1:12">
      <c r="A180" s="147" t="s">
        <v>289</v>
      </c>
      <c r="B180" s="147">
        <v>10211316</v>
      </c>
      <c r="C180" s="147" t="s">
        <v>138</v>
      </c>
      <c r="D180" s="147" t="s">
        <v>158</v>
      </c>
      <c r="E180" s="147" t="s">
        <v>99</v>
      </c>
      <c r="F180" s="148" t="s">
        <v>303</v>
      </c>
      <c r="G180" s="147" t="s">
        <v>139</v>
      </c>
      <c r="H180" s="149">
        <v>84</v>
      </c>
      <c r="I180" s="150">
        <v>0</v>
      </c>
      <c r="J180" s="150">
        <v>0</v>
      </c>
      <c r="K180" s="150">
        <v>90</v>
      </c>
      <c r="L180" s="149">
        <v>0</v>
      </c>
    </row>
    <row r="181" spans="1:12">
      <c r="A181" s="147" t="s">
        <v>289</v>
      </c>
      <c r="B181" s="147">
        <v>10211316</v>
      </c>
      <c r="C181" s="147" t="s">
        <v>138</v>
      </c>
      <c r="D181" s="147" t="s">
        <v>158</v>
      </c>
      <c r="E181" s="147" t="s">
        <v>99</v>
      </c>
      <c r="F181" s="148" t="s">
        <v>304</v>
      </c>
      <c r="G181" s="147" t="s">
        <v>139</v>
      </c>
      <c r="H181" s="149">
        <v>84</v>
      </c>
      <c r="I181" s="150">
        <v>2</v>
      </c>
      <c r="J181" s="150">
        <v>9</v>
      </c>
      <c r="K181" s="150">
        <v>261</v>
      </c>
      <c r="L181" s="149">
        <v>168</v>
      </c>
    </row>
    <row r="182" spans="1:12">
      <c r="A182" s="147" t="s">
        <v>289</v>
      </c>
      <c r="B182" s="147">
        <v>10211316</v>
      </c>
      <c r="C182" s="147" t="s">
        <v>138</v>
      </c>
      <c r="D182" s="147" t="s">
        <v>158</v>
      </c>
      <c r="E182" s="147" t="s">
        <v>99</v>
      </c>
      <c r="F182" s="148" t="s">
        <v>299</v>
      </c>
      <c r="G182" s="147" t="s">
        <v>141</v>
      </c>
      <c r="H182" s="149">
        <v>84</v>
      </c>
      <c r="I182" s="150">
        <v>1</v>
      </c>
      <c r="J182" s="150">
        <v>4.5</v>
      </c>
      <c r="K182" s="150">
        <v>0</v>
      </c>
      <c r="L182" s="149">
        <v>84</v>
      </c>
    </row>
    <row r="183" spans="1:12">
      <c r="A183" s="147" t="s">
        <v>289</v>
      </c>
      <c r="B183" s="147">
        <v>10239765</v>
      </c>
      <c r="C183" s="147" t="s">
        <v>138</v>
      </c>
      <c r="D183" s="147" t="s">
        <v>158</v>
      </c>
      <c r="E183" s="147" t="s">
        <v>99</v>
      </c>
      <c r="F183" s="148" t="s">
        <v>305</v>
      </c>
      <c r="G183" s="147" t="s">
        <v>146</v>
      </c>
      <c r="H183" s="149">
        <v>108.4</v>
      </c>
      <c r="I183" s="150">
        <v>1</v>
      </c>
      <c r="J183" s="150">
        <v>0</v>
      </c>
      <c r="K183" s="150">
        <v>0</v>
      </c>
      <c r="L183" s="149">
        <v>108.4</v>
      </c>
    </row>
    <row r="184" spans="1:12">
      <c r="A184" s="147" t="s">
        <v>306</v>
      </c>
      <c r="B184" s="147">
        <v>10211316</v>
      </c>
      <c r="C184" s="147" t="s">
        <v>138</v>
      </c>
      <c r="D184" s="147" t="s">
        <v>158</v>
      </c>
      <c r="E184" s="147" t="s">
        <v>99</v>
      </c>
      <c r="F184" s="148" t="s">
        <v>307</v>
      </c>
      <c r="G184" s="147" t="s">
        <v>139</v>
      </c>
      <c r="H184" s="149">
        <v>84</v>
      </c>
      <c r="I184" s="150">
        <v>2</v>
      </c>
      <c r="J184" s="150">
        <v>9</v>
      </c>
      <c r="K184" s="150">
        <v>980</v>
      </c>
      <c r="L184" s="149">
        <v>168</v>
      </c>
    </row>
    <row r="185" spans="1:12">
      <c r="A185" s="147" t="s">
        <v>306</v>
      </c>
      <c r="B185" s="147">
        <v>10211316</v>
      </c>
      <c r="C185" s="147" t="s">
        <v>138</v>
      </c>
      <c r="D185" s="147" t="s">
        <v>158</v>
      </c>
      <c r="E185" s="147" t="s">
        <v>99</v>
      </c>
      <c r="F185" s="148" t="s">
        <v>308</v>
      </c>
      <c r="G185" s="147" t="s">
        <v>139</v>
      </c>
      <c r="H185" s="149">
        <v>84</v>
      </c>
      <c r="I185" s="150">
        <v>2</v>
      </c>
      <c r="J185" s="150">
        <v>9</v>
      </c>
      <c r="K185" s="150">
        <v>200</v>
      </c>
      <c r="L185" s="149">
        <v>168</v>
      </c>
    </row>
    <row r="186" spans="1:12">
      <c r="A186" s="147" t="s">
        <v>306</v>
      </c>
      <c r="B186" s="147">
        <v>10211316</v>
      </c>
      <c r="C186" s="147" t="s">
        <v>138</v>
      </c>
      <c r="D186" s="147" t="s">
        <v>158</v>
      </c>
      <c r="E186" s="147" t="s">
        <v>99</v>
      </c>
      <c r="F186" s="148" t="s">
        <v>309</v>
      </c>
      <c r="G186" s="147" t="s">
        <v>139</v>
      </c>
      <c r="H186" s="149">
        <v>84</v>
      </c>
      <c r="I186" s="150">
        <v>2</v>
      </c>
      <c r="J186" s="150">
        <v>9</v>
      </c>
      <c r="K186" s="150">
        <v>261</v>
      </c>
      <c r="L186" s="149">
        <v>168</v>
      </c>
    </row>
    <row r="187" spans="1:12">
      <c r="A187" s="147" t="s">
        <v>306</v>
      </c>
      <c r="B187" s="147">
        <v>10211316</v>
      </c>
      <c r="C187" s="147" t="s">
        <v>138</v>
      </c>
      <c r="D187" s="147" t="s">
        <v>158</v>
      </c>
      <c r="E187" s="147" t="s">
        <v>99</v>
      </c>
      <c r="F187" s="148" t="s">
        <v>310</v>
      </c>
      <c r="G187" s="147" t="s">
        <v>139</v>
      </c>
      <c r="H187" s="149">
        <v>84</v>
      </c>
      <c r="I187" s="150">
        <v>2</v>
      </c>
      <c r="J187" s="150">
        <v>9</v>
      </c>
      <c r="K187" s="150">
        <v>261</v>
      </c>
      <c r="L187" s="149">
        <v>168</v>
      </c>
    </row>
    <row r="188" spans="1:12">
      <c r="A188" s="147" t="s">
        <v>306</v>
      </c>
      <c r="B188" s="147">
        <v>10211316</v>
      </c>
      <c r="C188" s="147" t="s">
        <v>138</v>
      </c>
      <c r="D188" s="147" t="s">
        <v>158</v>
      </c>
      <c r="E188" s="147" t="s">
        <v>99</v>
      </c>
      <c r="F188" s="148" t="s">
        <v>311</v>
      </c>
      <c r="G188" s="147" t="s">
        <v>139</v>
      </c>
      <c r="H188" s="149">
        <v>84</v>
      </c>
      <c r="I188" s="150">
        <v>2</v>
      </c>
      <c r="J188" s="150">
        <v>9</v>
      </c>
      <c r="K188" s="150">
        <v>290</v>
      </c>
      <c r="L188" s="149">
        <v>168</v>
      </c>
    </row>
    <row r="189" spans="1:12">
      <c r="A189" s="147" t="s">
        <v>306</v>
      </c>
      <c r="B189" s="147">
        <v>10211316</v>
      </c>
      <c r="C189" s="147" t="s">
        <v>138</v>
      </c>
      <c r="D189" s="147" t="s">
        <v>158</v>
      </c>
      <c r="E189" s="147" t="s">
        <v>99</v>
      </c>
      <c r="F189" s="148" t="s">
        <v>312</v>
      </c>
      <c r="G189" s="147" t="s">
        <v>139</v>
      </c>
      <c r="H189" s="149">
        <v>84</v>
      </c>
      <c r="I189" s="150">
        <v>2</v>
      </c>
      <c r="J189" s="150">
        <v>9</v>
      </c>
      <c r="K189" s="150">
        <v>320</v>
      </c>
      <c r="L189" s="149">
        <v>168</v>
      </c>
    </row>
    <row r="190" spans="1:12">
      <c r="A190" s="147" t="s">
        <v>306</v>
      </c>
      <c r="B190" s="147">
        <v>10211316</v>
      </c>
      <c r="C190" s="147" t="s">
        <v>138</v>
      </c>
      <c r="D190" s="147" t="s">
        <v>158</v>
      </c>
      <c r="E190" s="147" t="s">
        <v>99</v>
      </c>
      <c r="F190" s="148" t="s">
        <v>313</v>
      </c>
      <c r="G190" s="147" t="s">
        <v>139</v>
      </c>
      <c r="H190" s="149">
        <v>84</v>
      </c>
      <c r="I190" s="150">
        <v>2</v>
      </c>
      <c r="J190" s="150">
        <v>9</v>
      </c>
      <c r="K190" s="150">
        <v>280</v>
      </c>
      <c r="L190" s="149">
        <v>168</v>
      </c>
    </row>
    <row r="191" spans="1:12">
      <c r="A191" s="147" t="s">
        <v>306</v>
      </c>
      <c r="B191" s="147">
        <v>10211316</v>
      </c>
      <c r="C191" s="147" t="s">
        <v>138</v>
      </c>
      <c r="D191" s="147" t="s">
        <v>158</v>
      </c>
      <c r="E191" s="147" t="s">
        <v>99</v>
      </c>
      <c r="F191" s="148" t="s">
        <v>314</v>
      </c>
      <c r="G191" s="147" t="s">
        <v>139</v>
      </c>
      <c r="H191" s="149">
        <v>84</v>
      </c>
      <c r="I191" s="150">
        <v>2</v>
      </c>
      <c r="J191" s="150">
        <v>9</v>
      </c>
      <c r="K191" s="150">
        <v>435</v>
      </c>
      <c r="L191" s="149">
        <v>168</v>
      </c>
    </row>
    <row r="192" spans="1:12">
      <c r="A192" s="147" t="s">
        <v>306</v>
      </c>
      <c r="B192" s="147">
        <v>10211316</v>
      </c>
      <c r="C192" s="147" t="s">
        <v>138</v>
      </c>
      <c r="D192" s="147" t="s">
        <v>158</v>
      </c>
      <c r="E192" s="147" t="s">
        <v>99</v>
      </c>
      <c r="F192" s="148" t="s">
        <v>315</v>
      </c>
      <c r="G192" s="147" t="s">
        <v>139</v>
      </c>
      <c r="H192" s="149">
        <v>84</v>
      </c>
      <c r="I192" s="150">
        <v>2</v>
      </c>
      <c r="J192" s="150">
        <v>9</v>
      </c>
      <c r="K192" s="150">
        <v>350</v>
      </c>
      <c r="L192" s="149">
        <v>168</v>
      </c>
    </row>
    <row r="193" spans="1:12">
      <c r="A193" s="147" t="s">
        <v>306</v>
      </c>
      <c r="B193" s="147">
        <v>10211316</v>
      </c>
      <c r="C193" s="147" t="s">
        <v>138</v>
      </c>
      <c r="D193" s="147" t="s">
        <v>158</v>
      </c>
      <c r="E193" s="147" t="s">
        <v>99</v>
      </c>
      <c r="F193" s="148" t="s">
        <v>316</v>
      </c>
      <c r="G193" s="147" t="s">
        <v>139</v>
      </c>
      <c r="H193" s="149">
        <v>84</v>
      </c>
      <c r="I193" s="150">
        <v>1</v>
      </c>
      <c r="J193" s="150">
        <v>4.5</v>
      </c>
      <c r="K193" s="150">
        <v>200</v>
      </c>
      <c r="L193" s="149">
        <v>84</v>
      </c>
    </row>
    <row r="194" spans="1:12">
      <c r="A194" s="147" t="s">
        <v>306</v>
      </c>
      <c r="B194" s="147">
        <v>10211316</v>
      </c>
      <c r="C194" s="147" t="s">
        <v>138</v>
      </c>
      <c r="D194" s="147" t="s">
        <v>158</v>
      </c>
      <c r="E194" s="147" t="s">
        <v>99</v>
      </c>
      <c r="F194" s="148" t="s">
        <v>317</v>
      </c>
      <c r="G194" s="147" t="s">
        <v>139</v>
      </c>
      <c r="H194" s="149">
        <v>84</v>
      </c>
      <c r="I194" s="150">
        <v>2</v>
      </c>
      <c r="J194" s="150">
        <v>9</v>
      </c>
      <c r="K194" s="150">
        <v>520</v>
      </c>
      <c r="L194" s="149">
        <v>168</v>
      </c>
    </row>
    <row r="195" spans="1:12">
      <c r="A195" s="147" t="s">
        <v>306</v>
      </c>
      <c r="B195" s="147">
        <v>10211316</v>
      </c>
      <c r="C195" s="147" t="s">
        <v>138</v>
      </c>
      <c r="D195" s="147" t="s">
        <v>158</v>
      </c>
      <c r="E195" s="147" t="s">
        <v>99</v>
      </c>
      <c r="F195" s="148" t="s">
        <v>318</v>
      </c>
      <c r="G195" s="147" t="s">
        <v>139</v>
      </c>
      <c r="H195" s="149">
        <v>84</v>
      </c>
      <c r="I195" s="150">
        <v>2</v>
      </c>
      <c r="J195" s="150">
        <v>9</v>
      </c>
      <c r="K195" s="150">
        <v>500</v>
      </c>
      <c r="L195" s="149">
        <v>168</v>
      </c>
    </row>
    <row r="196" spans="1:12">
      <c r="A196" s="147" t="s">
        <v>306</v>
      </c>
      <c r="B196" s="147">
        <v>10211316</v>
      </c>
      <c r="C196" s="147" t="s">
        <v>138</v>
      </c>
      <c r="D196" s="147" t="s">
        <v>158</v>
      </c>
      <c r="E196" s="147" t="s">
        <v>99</v>
      </c>
      <c r="F196" s="148" t="s">
        <v>319</v>
      </c>
      <c r="G196" s="147" t="s">
        <v>139</v>
      </c>
      <c r="H196" s="149">
        <v>84</v>
      </c>
      <c r="I196" s="150">
        <v>2</v>
      </c>
      <c r="J196" s="150">
        <v>9</v>
      </c>
      <c r="K196" s="150">
        <v>470</v>
      </c>
      <c r="L196" s="149">
        <v>168</v>
      </c>
    </row>
    <row r="197" spans="1:12">
      <c r="A197" s="147" t="s">
        <v>306</v>
      </c>
      <c r="B197" s="147">
        <v>10211316</v>
      </c>
      <c r="C197" s="147" t="s">
        <v>138</v>
      </c>
      <c r="D197" s="147" t="s">
        <v>158</v>
      </c>
      <c r="E197" s="147" t="s">
        <v>99</v>
      </c>
      <c r="F197" s="148" t="s">
        <v>320</v>
      </c>
      <c r="G197" s="147" t="s">
        <v>139</v>
      </c>
      <c r="H197" s="149">
        <v>84</v>
      </c>
      <c r="I197" s="150">
        <v>2</v>
      </c>
      <c r="J197" s="150">
        <v>9</v>
      </c>
      <c r="K197" s="150">
        <v>261</v>
      </c>
      <c r="L197" s="149">
        <v>168</v>
      </c>
    </row>
    <row r="198" spans="1:12">
      <c r="A198" s="147" t="s">
        <v>306</v>
      </c>
      <c r="B198" s="147">
        <v>10211316</v>
      </c>
      <c r="C198" s="147" t="s">
        <v>138</v>
      </c>
      <c r="D198" s="147" t="s">
        <v>158</v>
      </c>
      <c r="E198" s="147" t="s">
        <v>99</v>
      </c>
      <c r="F198" s="148" t="s">
        <v>321</v>
      </c>
      <c r="G198" s="147" t="s">
        <v>139</v>
      </c>
      <c r="H198" s="149">
        <v>84</v>
      </c>
      <c r="I198" s="150">
        <v>1</v>
      </c>
      <c r="J198" s="150">
        <v>4.5</v>
      </c>
      <c r="K198" s="150">
        <v>270</v>
      </c>
      <c r="L198" s="149">
        <v>84</v>
      </c>
    </row>
    <row r="199" spans="1:12">
      <c r="A199" s="147" t="s">
        <v>306</v>
      </c>
      <c r="B199" s="147">
        <v>10211316</v>
      </c>
      <c r="C199" s="147" t="s">
        <v>138</v>
      </c>
      <c r="D199" s="147" t="s">
        <v>158</v>
      </c>
      <c r="E199" s="147" t="s">
        <v>99</v>
      </c>
      <c r="F199" s="148" t="s">
        <v>322</v>
      </c>
      <c r="G199" s="147" t="s">
        <v>139</v>
      </c>
      <c r="H199" s="149">
        <v>84</v>
      </c>
      <c r="I199" s="150">
        <v>2</v>
      </c>
      <c r="J199" s="150">
        <v>9</v>
      </c>
      <c r="K199" s="150">
        <v>330</v>
      </c>
      <c r="L199" s="149">
        <v>168</v>
      </c>
    </row>
    <row r="200" spans="1:12">
      <c r="A200" s="147" t="s">
        <v>306</v>
      </c>
      <c r="B200" s="147">
        <v>10211316</v>
      </c>
      <c r="C200" s="147" t="s">
        <v>138</v>
      </c>
      <c r="D200" s="147" t="s">
        <v>158</v>
      </c>
      <c r="E200" s="147" t="s">
        <v>99</v>
      </c>
      <c r="F200" s="148" t="s">
        <v>323</v>
      </c>
      <c r="G200" s="147" t="s">
        <v>139</v>
      </c>
      <c r="H200" s="149">
        <v>84</v>
      </c>
      <c r="I200" s="150">
        <v>2</v>
      </c>
      <c r="J200" s="150">
        <v>9</v>
      </c>
      <c r="K200" s="150">
        <v>261</v>
      </c>
      <c r="L200" s="149">
        <v>168</v>
      </c>
    </row>
    <row r="201" spans="1:12">
      <c r="A201" s="147" t="s">
        <v>306</v>
      </c>
      <c r="B201" s="147">
        <v>10211316</v>
      </c>
      <c r="C201" s="147" t="s">
        <v>138</v>
      </c>
      <c r="D201" s="147" t="s">
        <v>158</v>
      </c>
      <c r="E201" s="147" t="s">
        <v>99</v>
      </c>
      <c r="F201" s="148" t="s">
        <v>324</v>
      </c>
      <c r="G201" s="147" t="s">
        <v>139</v>
      </c>
      <c r="H201" s="149">
        <v>84</v>
      </c>
      <c r="I201" s="150">
        <v>1</v>
      </c>
      <c r="J201" s="150">
        <v>4.5</v>
      </c>
      <c r="K201" s="150">
        <v>369</v>
      </c>
      <c r="L201" s="149">
        <v>84</v>
      </c>
    </row>
    <row r="202" spans="1:12">
      <c r="A202" s="147" t="s">
        <v>306</v>
      </c>
      <c r="B202" s="147">
        <v>10211316</v>
      </c>
      <c r="C202" s="147" t="s">
        <v>138</v>
      </c>
      <c r="D202" s="147" t="s">
        <v>158</v>
      </c>
      <c r="E202" s="147" t="s">
        <v>99</v>
      </c>
      <c r="F202" s="148" t="s">
        <v>325</v>
      </c>
      <c r="G202" s="147" t="s">
        <v>139</v>
      </c>
      <c r="H202" s="149">
        <v>84</v>
      </c>
      <c r="I202" s="150">
        <v>2</v>
      </c>
      <c r="J202" s="150">
        <v>9</v>
      </c>
      <c r="K202" s="150">
        <v>261</v>
      </c>
      <c r="L202" s="149">
        <v>168</v>
      </c>
    </row>
    <row r="203" spans="1:12">
      <c r="A203" s="147" t="s">
        <v>306</v>
      </c>
      <c r="B203" s="147">
        <v>10211316</v>
      </c>
      <c r="C203" s="147" t="s">
        <v>138</v>
      </c>
      <c r="D203" s="147" t="s">
        <v>158</v>
      </c>
      <c r="E203" s="147" t="s">
        <v>99</v>
      </c>
      <c r="F203" s="148" t="s">
        <v>326</v>
      </c>
      <c r="G203" s="147" t="s">
        <v>139</v>
      </c>
      <c r="H203" s="149">
        <v>84</v>
      </c>
      <c r="I203" s="150">
        <v>2</v>
      </c>
      <c r="J203" s="150">
        <v>9</v>
      </c>
      <c r="K203" s="150">
        <v>398</v>
      </c>
      <c r="L203" s="149">
        <v>168</v>
      </c>
    </row>
    <row r="204" spans="1:12">
      <c r="A204" s="147" t="s">
        <v>306</v>
      </c>
      <c r="B204" s="147">
        <v>10239765</v>
      </c>
      <c r="C204" s="147" t="s">
        <v>138</v>
      </c>
      <c r="D204" s="147" t="s">
        <v>158</v>
      </c>
      <c r="E204" s="147" t="s">
        <v>99</v>
      </c>
      <c r="F204" s="148" t="s">
        <v>326</v>
      </c>
      <c r="G204" s="147" t="s">
        <v>146</v>
      </c>
      <c r="H204" s="149">
        <v>138.30000000000001</v>
      </c>
      <c r="I204" s="150">
        <v>1</v>
      </c>
      <c r="J204" s="150">
        <v>0</v>
      </c>
      <c r="K204" s="150">
        <v>0</v>
      </c>
      <c r="L204" s="149">
        <v>138.30000000000001</v>
      </c>
    </row>
    <row r="205" spans="1:12">
      <c r="A205" s="147" t="s">
        <v>327</v>
      </c>
      <c r="B205" s="147">
        <v>10211316</v>
      </c>
      <c r="C205" s="147" t="s">
        <v>138</v>
      </c>
      <c r="D205" s="147" t="s">
        <v>158</v>
      </c>
      <c r="E205" s="147" t="s">
        <v>99</v>
      </c>
      <c r="F205" s="148" t="s">
        <v>328</v>
      </c>
      <c r="G205" s="147" t="s">
        <v>139</v>
      </c>
      <c r="H205" s="149">
        <v>84</v>
      </c>
      <c r="I205" s="150">
        <v>-1</v>
      </c>
      <c r="J205" s="150">
        <v>-4.5</v>
      </c>
      <c r="K205" s="150">
        <v>0</v>
      </c>
      <c r="L205" s="149">
        <v>-84</v>
      </c>
    </row>
    <row r="206" spans="1:12">
      <c r="A206" s="147" t="s">
        <v>327</v>
      </c>
      <c r="B206" s="147">
        <v>10211316</v>
      </c>
      <c r="C206" s="147" t="s">
        <v>138</v>
      </c>
      <c r="D206" s="147" t="s">
        <v>158</v>
      </c>
      <c r="E206" s="147" t="s">
        <v>99</v>
      </c>
      <c r="F206" s="148" t="s">
        <v>328</v>
      </c>
      <c r="G206" s="147" t="s">
        <v>142</v>
      </c>
      <c r="H206" s="149">
        <v>84</v>
      </c>
      <c r="I206" s="150">
        <v>3</v>
      </c>
      <c r="J206" s="150">
        <v>13.5</v>
      </c>
      <c r="K206" s="150">
        <v>0</v>
      </c>
      <c r="L206" s="149">
        <v>252</v>
      </c>
    </row>
    <row r="207" spans="1:12">
      <c r="A207" s="147" t="s">
        <v>327</v>
      </c>
      <c r="B207" s="147">
        <v>10211316</v>
      </c>
      <c r="C207" s="147" t="s">
        <v>138</v>
      </c>
      <c r="D207" s="147" t="s">
        <v>158</v>
      </c>
      <c r="E207" s="147" t="s">
        <v>99</v>
      </c>
      <c r="F207" s="148" t="s">
        <v>329</v>
      </c>
      <c r="G207" s="147" t="s">
        <v>139</v>
      </c>
      <c r="H207" s="149">
        <v>84</v>
      </c>
      <c r="I207" s="150">
        <v>2</v>
      </c>
      <c r="J207" s="150">
        <v>9</v>
      </c>
      <c r="K207" s="150">
        <v>1098</v>
      </c>
      <c r="L207" s="149">
        <v>168</v>
      </c>
    </row>
    <row r="208" spans="1:12">
      <c r="A208" s="147" t="s">
        <v>327</v>
      </c>
      <c r="B208" s="147">
        <v>10211316</v>
      </c>
      <c r="C208" s="147" t="s">
        <v>138</v>
      </c>
      <c r="D208" s="147" t="s">
        <v>158</v>
      </c>
      <c r="E208" s="147" t="s">
        <v>99</v>
      </c>
      <c r="F208" s="148" t="s">
        <v>330</v>
      </c>
      <c r="G208" s="147" t="s">
        <v>139</v>
      </c>
      <c r="H208" s="149">
        <v>84</v>
      </c>
      <c r="I208" s="150">
        <v>2</v>
      </c>
      <c r="J208" s="150">
        <v>9</v>
      </c>
      <c r="K208" s="150">
        <v>715</v>
      </c>
      <c r="L208" s="149">
        <v>168</v>
      </c>
    </row>
    <row r="209" spans="1:12">
      <c r="A209" s="147" t="s">
        <v>327</v>
      </c>
      <c r="B209" s="147">
        <v>10211316</v>
      </c>
      <c r="C209" s="147" t="s">
        <v>138</v>
      </c>
      <c r="D209" s="147" t="s">
        <v>158</v>
      </c>
      <c r="E209" s="147" t="s">
        <v>99</v>
      </c>
      <c r="F209" s="148" t="s">
        <v>331</v>
      </c>
      <c r="G209" s="147" t="s">
        <v>139</v>
      </c>
      <c r="H209" s="149">
        <v>84</v>
      </c>
      <c r="I209" s="150">
        <v>2</v>
      </c>
      <c r="J209" s="150">
        <v>9</v>
      </c>
      <c r="K209" s="150">
        <v>685</v>
      </c>
      <c r="L209" s="149">
        <v>168</v>
      </c>
    </row>
    <row r="210" spans="1:12">
      <c r="A210" s="147" t="s">
        <v>327</v>
      </c>
      <c r="B210" s="147">
        <v>10211316</v>
      </c>
      <c r="C210" s="147" t="s">
        <v>138</v>
      </c>
      <c r="D210" s="147" t="s">
        <v>158</v>
      </c>
      <c r="E210" s="147" t="s">
        <v>99</v>
      </c>
      <c r="F210" s="148" t="s">
        <v>332</v>
      </c>
      <c r="G210" s="147" t="s">
        <v>139</v>
      </c>
      <c r="H210" s="149">
        <v>84</v>
      </c>
      <c r="I210" s="150">
        <v>1</v>
      </c>
      <c r="J210" s="150">
        <v>4.5</v>
      </c>
      <c r="K210" s="150">
        <v>230</v>
      </c>
      <c r="L210" s="149">
        <v>84</v>
      </c>
    </row>
    <row r="211" spans="1:12">
      <c r="A211" s="147" t="s">
        <v>327</v>
      </c>
      <c r="B211" s="147">
        <v>10211316</v>
      </c>
      <c r="C211" s="147" t="s">
        <v>138</v>
      </c>
      <c r="D211" s="147" t="s">
        <v>158</v>
      </c>
      <c r="E211" s="147" t="s">
        <v>99</v>
      </c>
      <c r="F211" s="148" t="s">
        <v>333</v>
      </c>
      <c r="G211" s="147" t="s">
        <v>139</v>
      </c>
      <c r="H211" s="149">
        <v>84</v>
      </c>
      <c r="I211" s="150">
        <v>2</v>
      </c>
      <c r="J211" s="150">
        <v>9</v>
      </c>
      <c r="K211" s="150">
        <v>988</v>
      </c>
      <c r="L211" s="149">
        <v>168</v>
      </c>
    </row>
    <row r="212" spans="1:12">
      <c r="A212" s="147" t="s">
        <v>327</v>
      </c>
      <c r="B212" s="147">
        <v>10211316</v>
      </c>
      <c r="C212" s="147" t="s">
        <v>138</v>
      </c>
      <c r="D212" s="147" t="s">
        <v>158</v>
      </c>
      <c r="E212" s="147" t="s">
        <v>99</v>
      </c>
      <c r="F212" s="148" t="s">
        <v>334</v>
      </c>
      <c r="G212" s="147" t="s">
        <v>139</v>
      </c>
      <c r="H212" s="149">
        <v>84</v>
      </c>
      <c r="I212" s="150">
        <v>2</v>
      </c>
      <c r="J212" s="150">
        <v>9</v>
      </c>
      <c r="K212" s="150">
        <v>795</v>
      </c>
      <c r="L212" s="149">
        <v>168</v>
      </c>
    </row>
    <row r="213" spans="1:12">
      <c r="A213" s="147" t="s">
        <v>327</v>
      </c>
      <c r="B213" s="147">
        <v>10211316</v>
      </c>
      <c r="C213" s="147" t="s">
        <v>138</v>
      </c>
      <c r="D213" s="147" t="s">
        <v>158</v>
      </c>
      <c r="E213" s="147" t="s">
        <v>99</v>
      </c>
      <c r="F213" s="148" t="s">
        <v>335</v>
      </c>
      <c r="G213" s="147" t="s">
        <v>139</v>
      </c>
      <c r="H213" s="149">
        <v>84</v>
      </c>
      <c r="I213" s="150">
        <v>2</v>
      </c>
      <c r="J213" s="150">
        <v>9</v>
      </c>
      <c r="K213" s="150">
        <v>775</v>
      </c>
      <c r="L213" s="149">
        <v>168</v>
      </c>
    </row>
    <row r="214" spans="1:12">
      <c r="A214" s="147" t="s">
        <v>327</v>
      </c>
      <c r="B214" s="147">
        <v>10211316</v>
      </c>
      <c r="C214" s="147" t="s">
        <v>138</v>
      </c>
      <c r="D214" s="147" t="s">
        <v>158</v>
      </c>
      <c r="E214" s="147" t="s">
        <v>99</v>
      </c>
      <c r="F214" s="148" t="s">
        <v>336</v>
      </c>
      <c r="G214" s="147" t="s">
        <v>139</v>
      </c>
      <c r="H214" s="149">
        <v>84</v>
      </c>
      <c r="I214" s="150">
        <v>2</v>
      </c>
      <c r="J214" s="150">
        <v>9</v>
      </c>
      <c r="K214" s="150">
        <v>961</v>
      </c>
      <c r="L214" s="149">
        <v>168</v>
      </c>
    </row>
    <row r="215" spans="1:12">
      <c r="A215" s="147" t="s">
        <v>327</v>
      </c>
      <c r="B215" s="147">
        <v>10211316</v>
      </c>
      <c r="C215" s="147" t="s">
        <v>138</v>
      </c>
      <c r="D215" s="147" t="s">
        <v>158</v>
      </c>
      <c r="E215" s="147" t="s">
        <v>99</v>
      </c>
      <c r="F215" s="148" t="s">
        <v>337</v>
      </c>
      <c r="G215" s="147" t="s">
        <v>139</v>
      </c>
      <c r="H215" s="149">
        <v>84</v>
      </c>
      <c r="I215" s="150">
        <v>2</v>
      </c>
      <c r="J215" s="150">
        <v>9</v>
      </c>
      <c r="K215" s="150">
        <v>659</v>
      </c>
      <c r="L215" s="149">
        <v>168</v>
      </c>
    </row>
    <row r="216" spans="1:12">
      <c r="A216" s="147" t="s">
        <v>327</v>
      </c>
      <c r="B216" s="147">
        <v>10211316</v>
      </c>
      <c r="C216" s="147" t="s">
        <v>138</v>
      </c>
      <c r="D216" s="147" t="s">
        <v>158</v>
      </c>
      <c r="E216" s="147" t="s">
        <v>99</v>
      </c>
      <c r="F216" s="148" t="s">
        <v>338</v>
      </c>
      <c r="G216" s="147" t="s">
        <v>139</v>
      </c>
      <c r="H216" s="149">
        <v>84</v>
      </c>
      <c r="I216" s="150">
        <v>1</v>
      </c>
      <c r="J216" s="150">
        <v>4.5</v>
      </c>
      <c r="K216" s="150">
        <v>161</v>
      </c>
      <c r="L216" s="149">
        <v>84</v>
      </c>
    </row>
    <row r="217" spans="1:12">
      <c r="A217" s="147" t="s">
        <v>327</v>
      </c>
      <c r="B217" s="147">
        <v>10211316</v>
      </c>
      <c r="C217" s="147" t="s">
        <v>138</v>
      </c>
      <c r="D217" s="147" t="s">
        <v>158</v>
      </c>
      <c r="E217" s="147" t="s">
        <v>99</v>
      </c>
      <c r="F217" s="148" t="s">
        <v>339</v>
      </c>
      <c r="G217" s="147" t="s">
        <v>139</v>
      </c>
      <c r="H217" s="149">
        <v>84</v>
      </c>
      <c r="I217" s="150">
        <v>2</v>
      </c>
      <c r="J217" s="150">
        <v>9</v>
      </c>
      <c r="K217" s="150">
        <v>1017</v>
      </c>
      <c r="L217" s="149">
        <v>168</v>
      </c>
    </row>
    <row r="218" spans="1:12">
      <c r="A218" s="147" t="s">
        <v>327</v>
      </c>
      <c r="B218" s="147">
        <v>10211316</v>
      </c>
      <c r="C218" s="147" t="s">
        <v>138</v>
      </c>
      <c r="D218" s="147" t="s">
        <v>158</v>
      </c>
      <c r="E218" s="147" t="s">
        <v>99</v>
      </c>
      <c r="F218" s="148" t="s">
        <v>340</v>
      </c>
      <c r="G218" s="147" t="s">
        <v>139</v>
      </c>
      <c r="H218" s="149">
        <v>84</v>
      </c>
      <c r="I218" s="150">
        <v>4</v>
      </c>
      <c r="J218" s="150">
        <v>18</v>
      </c>
      <c r="K218" s="150">
        <v>916</v>
      </c>
      <c r="L218" s="149">
        <v>336</v>
      </c>
    </row>
    <row r="219" spans="1:12">
      <c r="A219" s="147" t="s">
        <v>327</v>
      </c>
      <c r="B219" s="147">
        <v>10211316</v>
      </c>
      <c r="C219" s="147" t="s">
        <v>138</v>
      </c>
      <c r="D219" s="147" t="s">
        <v>158</v>
      </c>
      <c r="E219" s="147" t="s">
        <v>99</v>
      </c>
      <c r="F219" s="148" t="s">
        <v>341</v>
      </c>
      <c r="G219" s="147" t="s">
        <v>139</v>
      </c>
      <c r="H219" s="149">
        <v>84</v>
      </c>
      <c r="I219" s="150">
        <v>2</v>
      </c>
      <c r="J219" s="150">
        <v>9</v>
      </c>
      <c r="K219" s="150">
        <v>732</v>
      </c>
      <c r="L219" s="149">
        <v>168</v>
      </c>
    </row>
    <row r="220" spans="1:12">
      <c r="A220" s="147" t="s">
        <v>327</v>
      </c>
      <c r="B220" s="147">
        <v>10211316</v>
      </c>
      <c r="C220" s="147" t="s">
        <v>138</v>
      </c>
      <c r="D220" s="147" t="s">
        <v>158</v>
      </c>
      <c r="E220" s="147" t="s">
        <v>99</v>
      </c>
      <c r="F220" s="148" t="s">
        <v>342</v>
      </c>
      <c r="G220" s="147" t="s">
        <v>139</v>
      </c>
      <c r="H220" s="149">
        <v>84</v>
      </c>
      <c r="I220" s="150">
        <v>2</v>
      </c>
      <c r="J220" s="150">
        <v>9</v>
      </c>
      <c r="K220" s="150">
        <v>1048</v>
      </c>
      <c r="L220" s="149">
        <v>168</v>
      </c>
    </row>
    <row r="221" spans="1:12">
      <c r="A221" s="147" t="s">
        <v>327</v>
      </c>
      <c r="B221" s="147">
        <v>10211316</v>
      </c>
      <c r="C221" s="147" t="s">
        <v>138</v>
      </c>
      <c r="D221" s="147" t="s">
        <v>158</v>
      </c>
      <c r="E221" s="147" t="s">
        <v>99</v>
      </c>
      <c r="F221" s="148" t="s">
        <v>343</v>
      </c>
      <c r="G221" s="147" t="s">
        <v>139</v>
      </c>
      <c r="H221" s="149">
        <v>84</v>
      </c>
      <c r="I221" s="150">
        <v>2</v>
      </c>
      <c r="J221" s="150">
        <v>9</v>
      </c>
      <c r="K221" s="150">
        <v>305</v>
      </c>
      <c r="L221" s="149">
        <v>168</v>
      </c>
    </row>
    <row r="222" spans="1:12">
      <c r="A222" s="147" t="s">
        <v>327</v>
      </c>
      <c r="B222" s="147">
        <v>10211316</v>
      </c>
      <c r="C222" s="147" t="s">
        <v>138</v>
      </c>
      <c r="D222" s="147" t="s">
        <v>158</v>
      </c>
      <c r="E222" s="147" t="s">
        <v>99</v>
      </c>
      <c r="F222" s="148" t="s">
        <v>344</v>
      </c>
      <c r="G222" s="147" t="s">
        <v>139</v>
      </c>
      <c r="H222" s="149">
        <v>84</v>
      </c>
      <c r="I222" s="150">
        <v>2</v>
      </c>
      <c r="J222" s="150">
        <v>9</v>
      </c>
      <c r="K222" s="150">
        <v>1058</v>
      </c>
      <c r="L222" s="149">
        <v>168</v>
      </c>
    </row>
    <row r="223" spans="1:12">
      <c r="A223" s="147" t="s">
        <v>327</v>
      </c>
      <c r="B223" s="147">
        <v>10211316</v>
      </c>
      <c r="C223" s="147" t="s">
        <v>138</v>
      </c>
      <c r="D223" s="147" t="s">
        <v>158</v>
      </c>
      <c r="E223" s="147" t="s">
        <v>99</v>
      </c>
      <c r="F223" s="148" t="s">
        <v>345</v>
      </c>
      <c r="G223" s="147" t="s">
        <v>139</v>
      </c>
      <c r="H223" s="149">
        <v>84</v>
      </c>
      <c r="I223" s="150">
        <v>2</v>
      </c>
      <c r="J223" s="150">
        <v>9</v>
      </c>
      <c r="K223" s="150">
        <v>868</v>
      </c>
      <c r="L223" s="149">
        <v>168</v>
      </c>
    </row>
    <row r="224" spans="1:12">
      <c r="A224" s="147" t="s">
        <v>327</v>
      </c>
      <c r="B224" s="147">
        <v>10211316</v>
      </c>
      <c r="C224" s="147" t="s">
        <v>138</v>
      </c>
      <c r="D224" s="147" t="s">
        <v>158</v>
      </c>
      <c r="E224" s="147" t="s">
        <v>99</v>
      </c>
      <c r="F224" s="148" t="s">
        <v>346</v>
      </c>
      <c r="G224" s="147" t="s">
        <v>139</v>
      </c>
      <c r="H224" s="149">
        <v>84</v>
      </c>
      <c r="I224" s="150">
        <v>2</v>
      </c>
      <c r="J224" s="150">
        <v>9</v>
      </c>
      <c r="K224" s="150">
        <v>888</v>
      </c>
      <c r="L224" s="149">
        <v>168</v>
      </c>
    </row>
    <row r="225" spans="1:12">
      <c r="A225" s="147" t="s">
        <v>327</v>
      </c>
      <c r="B225" s="147">
        <v>10211316</v>
      </c>
      <c r="C225" s="147" t="s">
        <v>138</v>
      </c>
      <c r="D225" s="147" t="s">
        <v>158</v>
      </c>
      <c r="E225" s="147" t="s">
        <v>99</v>
      </c>
      <c r="F225" s="148" t="s">
        <v>347</v>
      </c>
      <c r="G225" s="147" t="s">
        <v>139</v>
      </c>
      <c r="H225" s="149">
        <v>84</v>
      </c>
      <c r="I225" s="150">
        <v>2</v>
      </c>
      <c r="J225" s="150">
        <v>9</v>
      </c>
      <c r="K225" s="150">
        <v>809</v>
      </c>
      <c r="L225" s="149">
        <v>168</v>
      </c>
    </row>
    <row r="226" spans="1:12">
      <c r="A226" s="147" t="s">
        <v>327</v>
      </c>
      <c r="B226" s="147">
        <v>10211316</v>
      </c>
      <c r="C226" s="147" t="s">
        <v>138</v>
      </c>
      <c r="D226" s="147" t="s">
        <v>158</v>
      </c>
      <c r="E226" s="147" t="s">
        <v>99</v>
      </c>
      <c r="F226" s="148" t="s">
        <v>348</v>
      </c>
      <c r="G226" s="147" t="s">
        <v>139</v>
      </c>
      <c r="H226" s="149">
        <v>84</v>
      </c>
      <c r="I226" s="150">
        <v>2</v>
      </c>
      <c r="J226" s="150">
        <v>9</v>
      </c>
      <c r="K226" s="150">
        <v>998</v>
      </c>
      <c r="L226" s="149">
        <v>168</v>
      </c>
    </row>
    <row r="227" spans="1:12">
      <c r="A227" s="147" t="s">
        <v>327</v>
      </c>
      <c r="B227" s="147">
        <v>10211316</v>
      </c>
      <c r="C227" s="147" t="s">
        <v>138</v>
      </c>
      <c r="D227" s="147" t="s">
        <v>158</v>
      </c>
      <c r="E227" s="147" t="s">
        <v>99</v>
      </c>
      <c r="F227" s="148" t="s">
        <v>349</v>
      </c>
      <c r="G227" s="147" t="s">
        <v>139</v>
      </c>
      <c r="H227" s="149">
        <v>84</v>
      </c>
      <c r="I227" s="150">
        <v>2</v>
      </c>
      <c r="J227" s="150">
        <v>9</v>
      </c>
      <c r="K227" s="150">
        <v>196</v>
      </c>
      <c r="L227" s="149">
        <v>168</v>
      </c>
    </row>
    <row r="228" spans="1:12">
      <c r="A228" s="147" t="s">
        <v>327</v>
      </c>
      <c r="B228" s="147">
        <v>10211316</v>
      </c>
      <c r="C228" s="147" t="s">
        <v>138</v>
      </c>
      <c r="D228" s="147" t="s">
        <v>158</v>
      </c>
      <c r="E228" s="147" t="s">
        <v>99</v>
      </c>
      <c r="F228" s="148" t="s">
        <v>350</v>
      </c>
      <c r="G228" s="147" t="s">
        <v>141</v>
      </c>
      <c r="H228" s="149">
        <v>84</v>
      </c>
      <c r="I228" s="150">
        <v>1</v>
      </c>
      <c r="J228" s="150">
        <v>4.5</v>
      </c>
      <c r="K228" s="150">
        <v>0</v>
      </c>
      <c r="L228" s="149">
        <v>84</v>
      </c>
    </row>
    <row r="229" spans="1:12">
      <c r="A229" s="147" t="s">
        <v>327</v>
      </c>
      <c r="B229" s="147">
        <v>10254159</v>
      </c>
      <c r="C229" s="147" t="s">
        <v>148</v>
      </c>
      <c r="D229" s="147" t="s">
        <v>158</v>
      </c>
      <c r="E229" s="147" t="s">
        <v>99</v>
      </c>
      <c r="F229" s="148" t="s">
        <v>339</v>
      </c>
      <c r="G229" s="147" t="s">
        <v>149</v>
      </c>
      <c r="H229" s="149">
        <v>78</v>
      </c>
      <c r="I229" s="150">
        <v>1</v>
      </c>
      <c r="J229" s="150">
        <v>3</v>
      </c>
      <c r="K229" s="150">
        <v>289</v>
      </c>
      <c r="L229" s="149">
        <v>78</v>
      </c>
    </row>
    <row r="230" spans="1:12">
      <c r="A230" s="147" t="s">
        <v>351</v>
      </c>
      <c r="B230" s="147">
        <v>10211316</v>
      </c>
      <c r="C230" s="147" t="s">
        <v>138</v>
      </c>
      <c r="D230" s="147" t="s">
        <v>158</v>
      </c>
      <c r="E230" s="147" t="s">
        <v>99</v>
      </c>
      <c r="F230" s="148" t="s">
        <v>352</v>
      </c>
      <c r="G230" s="147" t="s">
        <v>139</v>
      </c>
      <c r="H230" s="149">
        <v>84</v>
      </c>
      <c r="I230" s="150">
        <v>2</v>
      </c>
      <c r="J230" s="150">
        <v>9</v>
      </c>
      <c r="K230" s="150">
        <v>261</v>
      </c>
      <c r="L230" s="149">
        <v>168</v>
      </c>
    </row>
    <row r="231" spans="1:12">
      <c r="A231" s="147" t="s">
        <v>351</v>
      </c>
      <c r="B231" s="147">
        <v>10211316</v>
      </c>
      <c r="C231" s="147" t="s">
        <v>138</v>
      </c>
      <c r="D231" s="147" t="s">
        <v>158</v>
      </c>
      <c r="E231" s="147" t="s">
        <v>99</v>
      </c>
      <c r="F231" s="148" t="s">
        <v>353</v>
      </c>
      <c r="G231" s="147" t="s">
        <v>139</v>
      </c>
      <c r="H231" s="149">
        <v>84</v>
      </c>
      <c r="I231" s="150">
        <v>1</v>
      </c>
      <c r="J231" s="150">
        <v>4.5</v>
      </c>
      <c r="K231" s="150">
        <v>179</v>
      </c>
      <c r="L231" s="149">
        <v>84</v>
      </c>
    </row>
    <row r="232" spans="1:12">
      <c r="A232" s="147" t="s">
        <v>351</v>
      </c>
      <c r="B232" s="147">
        <v>10211316</v>
      </c>
      <c r="C232" s="147" t="s">
        <v>138</v>
      </c>
      <c r="D232" s="147" t="s">
        <v>158</v>
      </c>
      <c r="E232" s="147" t="s">
        <v>99</v>
      </c>
      <c r="F232" s="148" t="s">
        <v>354</v>
      </c>
      <c r="G232" s="147" t="s">
        <v>139</v>
      </c>
      <c r="H232" s="149">
        <v>84</v>
      </c>
      <c r="I232" s="150">
        <v>2</v>
      </c>
      <c r="J232" s="150">
        <v>9</v>
      </c>
      <c r="K232" s="150">
        <v>1198</v>
      </c>
      <c r="L232" s="149">
        <v>168</v>
      </c>
    </row>
    <row r="233" spans="1:12">
      <c r="A233" s="147" t="s">
        <v>351</v>
      </c>
      <c r="B233" s="147">
        <v>10211316</v>
      </c>
      <c r="C233" s="147" t="s">
        <v>138</v>
      </c>
      <c r="D233" s="147" t="s">
        <v>158</v>
      </c>
      <c r="E233" s="147" t="s">
        <v>99</v>
      </c>
      <c r="F233" s="148" t="s">
        <v>355</v>
      </c>
      <c r="G233" s="147" t="s">
        <v>139</v>
      </c>
      <c r="H233" s="149">
        <v>84</v>
      </c>
      <c r="I233" s="150">
        <v>2</v>
      </c>
      <c r="J233" s="150">
        <v>9</v>
      </c>
      <c r="K233" s="150">
        <v>618</v>
      </c>
      <c r="L233" s="149">
        <v>168</v>
      </c>
    </row>
    <row r="234" spans="1:12">
      <c r="A234" s="147" t="s">
        <v>351</v>
      </c>
      <c r="B234" s="147">
        <v>10211316</v>
      </c>
      <c r="C234" s="147" t="s">
        <v>138</v>
      </c>
      <c r="D234" s="147" t="s">
        <v>158</v>
      </c>
      <c r="E234" s="147" t="s">
        <v>99</v>
      </c>
      <c r="F234" s="148" t="s">
        <v>356</v>
      </c>
      <c r="G234" s="147" t="s">
        <v>139</v>
      </c>
      <c r="H234" s="149">
        <v>84</v>
      </c>
      <c r="I234" s="150">
        <v>2</v>
      </c>
      <c r="J234" s="150">
        <v>9</v>
      </c>
      <c r="K234" s="150">
        <v>778</v>
      </c>
      <c r="L234" s="149">
        <v>168</v>
      </c>
    </row>
    <row r="235" spans="1:12">
      <c r="A235" s="147" t="s">
        <v>351</v>
      </c>
      <c r="B235" s="147">
        <v>10211316</v>
      </c>
      <c r="C235" s="147" t="s">
        <v>138</v>
      </c>
      <c r="D235" s="147" t="s">
        <v>158</v>
      </c>
      <c r="E235" s="147" t="s">
        <v>99</v>
      </c>
      <c r="F235" s="148" t="s">
        <v>357</v>
      </c>
      <c r="G235" s="147" t="s">
        <v>139</v>
      </c>
      <c r="H235" s="149">
        <v>84</v>
      </c>
      <c r="I235" s="150">
        <v>2</v>
      </c>
      <c r="J235" s="150">
        <v>9</v>
      </c>
      <c r="K235" s="150">
        <v>354</v>
      </c>
      <c r="L235" s="149">
        <v>168</v>
      </c>
    </row>
    <row r="236" spans="1:12">
      <c r="A236" s="147" t="s">
        <v>351</v>
      </c>
      <c r="B236" s="147">
        <v>10211316</v>
      </c>
      <c r="C236" s="147" t="s">
        <v>138</v>
      </c>
      <c r="D236" s="147" t="s">
        <v>158</v>
      </c>
      <c r="E236" s="147" t="s">
        <v>99</v>
      </c>
      <c r="F236" s="148" t="s">
        <v>358</v>
      </c>
      <c r="G236" s="147" t="s">
        <v>139</v>
      </c>
      <c r="H236" s="149">
        <v>84</v>
      </c>
      <c r="I236" s="150">
        <v>2</v>
      </c>
      <c r="J236" s="150">
        <v>9</v>
      </c>
      <c r="K236" s="150">
        <v>868</v>
      </c>
      <c r="L236" s="149">
        <v>168</v>
      </c>
    </row>
    <row r="237" spans="1:12">
      <c r="A237" s="147" t="s">
        <v>351</v>
      </c>
      <c r="B237" s="147">
        <v>10211316</v>
      </c>
      <c r="C237" s="147" t="s">
        <v>138</v>
      </c>
      <c r="D237" s="147" t="s">
        <v>158</v>
      </c>
      <c r="E237" s="147" t="s">
        <v>99</v>
      </c>
      <c r="F237" s="148" t="s">
        <v>359</v>
      </c>
      <c r="G237" s="147" t="s">
        <v>139</v>
      </c>
      <c r="H237" s="149">
        <v>84</v>
      </c>
      <c r="I237" s="150">
        <v>2</v>
      </c>
      <c r="J237" s="150">
        <v>9</v>
      </c>
      <c r="K237" s="150">
        <v>577</v>
      </c>
      <c r="L237" s="149">
        <v>168</v>
      </c>
    </row>
    <row r="238" spans="1:12">
      <c r="A238" s="147" t="s">
        <v>351</v>
      </c>
      <c r="B238" s="147">
        <v>10211316</v>
      </c>
      <c r="C238" s="147" t="s">
        <v>138</v>
      </c>
      <c r="D238" s="147" t="s">
        <v>158</v>
      </c>
      <c r="E238" s="147" t="s">
        <v>99</v>
      </c>
      <c r="F238" s="148" t="s">
        <v>360</v>
      </c>
      <c r="G238" s="147" t="s">
        <v>139</v>
      </c>
      <c r="H238" s="149">
        <v>84</v>
      </c>
      <c r="I238" s="150">
        <v>2</v>
      </c>
      <c r="J238" s="150">
        <v>9</v>
      </c>
      <c r="K238" s="150">
        <v>758</v>
      </c>
      <c r="L238" s="149">
        <v>168</v>
      </c>
    </row>
    <row r="239" spans="1:12">
      <c r="A239" s="147" t="s">
        <v>351</v>
      </c>
      <c r="B239" s="147">
        <v>10211316</v>
      </c>
      <c r="C239" s="147" t="s">
        <v>138</v>
      </c>
      <c r="D239" s="147" t="s">
        <v>158</v>
      </c>
      <c r="E239" s="147" t="s">
        <v>99</v>
      </c>
      <c r="F239" s="148" t="s">
        <v>361</v>
      </c>
      <c r="G239" s="147" t="s">
        <v>139</v>
      </c>
      <c r="H239" s="149">
        <v>84</v>
      </c>
      <c r="I239" s="150">
        <v>2</v>
      </c>
      <c r="J239" s="150">
        <v>9</v>
      </c>
      <c r="K239" s="150">
        <v>1278</v>
      </c>
      <c r="L239" s="149">
        <v>168</v>
      </c>
    </row>
    <row r="240" spans="1:12">
      <c r="A240" s="147" t="s">
        <v>351</v>
      </c>
      <c r="B240" s="147">
        <v>10211316</v>
      </c>
      <c r="C240" s="147" t="s">
        <v>138</v>
      </c>
      <c r="D240" s="147" t="s">
        <v>158</v>
      </c>
      <c r="E240" s="147" t="s">
        <v>99</v>
      </c>
      <c r="F240" s="148" t="s">
        <v>362</v>
      </c>
      <c r="G240" s="147" t="s">
        <v>139</v>
      </c>
      <c r="H240" s="149">
        <v>84</v>
      </c>
      <c r="I240" s="150">
        <v>2</v>
      </c>
      <c r="J240" s="150">
        <v>9</v>
      </c>
      <c r="K240" s="150">
        <v>785</v>
      </c>
      <c r="L240" s="149">
        <v>168</v>
      </c>
    </row>
    <row r="241" spans="1:12">
      <c r="A241" s="147" t="s">
        <v>351</v>
      </c>
      <c r="B241" s="147">
        <v>10211316</v>
      </c>
      <c r="C241" s="147" t="s">
        <v>138</v>
      </c>
      <c r="D241" s="147" t="s">
        <v>158</v>
      </c>
      <c r="E241" s="147" t="s">
        <v>99</v>
      </c>
      <c r="F241" s="148" t="s">
        <v>363</v>
      </c>
      <c r="G241" s="147" t="s">
        <v>139</v>
      </c>
      <c r="H241" s="149">
        <v>84</v>
      </c>
      <c r="I241" s="150">
        <v>1</v>
      </c>
      <c r="J241" s="150">
        <v>4.5</v>
      </c>
      <c r="K241" s="150">
        <v>229</v>
      </c>
      <c r="L241" s="149">
        <v>84</v>
      </c>
    </row>
    <row r="242" spans="1:12">
      <c r="A242" s="147" t="s">
        <v>351</v>
      </c>
      <c r="B242" s="147">
        <v>10211316</v>
      </c>
      <c r="C242" s="147" t="s">
        <v>138</v>
      </c>
      <c r="D242" s="147" t="s">
        <v>158</v>
      </c>
      <c r="E242" s="147" t="s">
        <v>99</v>
      </c>
      <c r="F242" s="148" t="s">
        <v>364</v>
      </c>
      <c r="G242" s="147" t="s">
        <v>139</v>
      </c>
      <c r="H242" s="149">
        <v>84</v>
      </c>
      <c r="I242" s="150">
        <v>2</v>
      </c>
      <c r="J242" s="150">
        <v>9</v>
      </c>
      <c r="K242" s="150">
        <v>978</v>
      </c>
      <c r="L242" s="149">
        <v>168</v>
      </c>
    </row>
    <row r="243" spans="1:12">
      <c r="A243" s="147" t="s">
        <v>351</v>
      </c>
      <c r="B243" s="147">
        <v>10211316</v>
      </c>
      <c r="C243" s="147" t="s">
        <v>138</v>
      </c>
      <c r="D243" s="147" t="s">
        <v>158</v>
      </c>
      <c r="E243" s="147" t="s">
        <v>99</v>
      </c>
      <c r="F243" s="148" t="s">
        <v>365</v>
      </c>
      <c r="G243" s="147" t="s">
        <v>139</v>
      </c>
      <c r="H243" s="149">
        <v>84</v>
      </c>
      <c r="I243" s="150">
        <v>2</v>
      </c>
      <c r="J243" s="150">
        <v>9</v>
      </c>
      <c r="K243" s="150">
        <v>768</v>
      </c>
      <c r="L243" s="149">
        <v>168</v>
      </c>
    </row>
    <row r="244" spans="1:12">
      <c r="A244" s="147" t="s">
        <v>351</v>
      </c>
      <c r="B244" s="147">
        <v>10211316</v>
      </c>
      <c r="C244" s="147" t="s">
        <v>138</v>
      </c>
      <c r="D244" s="147" t="s">
        <v>158</v>
      </c>
      <c r="E244" s="147" t="s">
        <v>99</v>
      </c>
      <c r="F244" s="148" t="s">
        <v>366</v>
      </c>
      <c r="G244" s="147" t="s">
        <v>139</v>
      </c>
      <c r="H244" s="149">
        <v>84</v>
      </c>
      <c r="I244" s="150">
        <v>2</v>
      </c>
      <c r="J244" s="150">
        <v>9</v>
      </c>
      <c r="K244" s="150">
        <v>811</v>
      </c>
      <c r="L244" s="149">
        <v>168</v>
      </c>
    </row>
    <row r="245" spans="1:12">
      <c r="A245" s="147" t="s">
        <v>351</v>
      </c>
      <c r="B245" s="147">
        <v>10211316</v>
      </c>
      <c r="C245" s="147" t="s">
        <v>138</v>
      </c>
      <c r="D245" s="147" t="s">
        <v>158</v>
      </c>
      <c r="E245" s="147" t="s">
        <v>99</v>
      </c>
      <c r="F245" s="148" t="s">
        <v>367</v>
      </c>
      <c r="G245" s="147" t="s">
        <v>139</v>
      </c>
      <c r="H245" s="149">
        <v>84</v>
      </c>
      <c r="I245" s="150">
        <v>2</v>
      </c>
      <c r="J245" s="150">
        <v>9</v>
      </c>
      <c r="K245" s="150">
        <v>748</v>
      </c>
      <c r="L245" s="149">
        <v>168</v>
      </c>
    </row>
    <row r="246" spans="1:12">
      <c r="A246" s="147" t="s">
        <v>351</v>
      </c>
      <c r="B246" s="147">
        <v>10211316</v>
      </c>
      <c r="C246" s="147" t="s">
        <v>138</v>
      </c>
      <c r="D246" s="147" t="s">
        <v>158</v>
      </c>
      <c r="E246" s="147" t="s">
        <v>99</v>
      </c>
      <c r="F246" s="148" t="s">
        <v>368</v>
      </c>
      <c r="G246" s="147" t="s">
        <v>139</v>
      </c>
      <c r="H246" s="149">
        <v>84</v>
      </c>
      <c r="I246" s="150">
        <v>2</v>
      </c>
      <c r="J246" s="150">
        <v>9</v>
      </c>
      <c r="K246" s="150">
        <v>740</v>
      </c>
      <c r="L246" s="149">
        <v>168</v>
      </c>
    </row>
    <row r="247" spans="1:12">
      <c r="A247" s="147" t="s">
        <v>351</v>
      </c>
      <c r="B247" s="147">
        <v>10211316</v>
      </c>
      <c r="C247" s="147" t="s">
        <v>138</v>
      </c>
      <c r="D247" s="147" t="s">
        <v>158</v>
      </c>
      <c r="E247" s="147" t="s">
        <v>99</v>
      </c>
      <c r="F247" s="148" t="s">
        <v>369</v>
      </c>
      <c r="G247" s="147" t="s">
        <v>139</v>
      </c>
      <c r="H247" s="149">
        <v>84</v>
      </c>
      <c r="I247" s="150">
        <v>2</v>
      </c>
      <c r="J247" s="150">
        <v>9</v>
      </c>
      <c r="K247" s="150">
        <v>290</v>
      </c>
      <c r="L247" s="149">
        <v>168</v>
      </c>
    </row>
    <row r="248" spans="1:12">
      <c r="A248" s="147" t="s">
        <v>351</v>
      </c>
      <c r="B248" s="147">
        <v>10211316</v>
      </c>
      <c r="C248" s="147" t="s">
        <v>138</v>
      </c>
      <c r="D248" s="147" t="s">
        <v>158</v>
      </c>
      <c r="E248" s="147" t="s">
        <v>99</v>
      </c>
      <c r="F248" s="148" t="s">
        <v>370</v>
      </c>
      <c r="G248" s="147" t="s">
        <v>139</v>
      </c>
      <c r="H248" s="149">
        <v>84</v>
      </c>
      <c r="I248" s="150">
        <v>2</v>
      </c>
      <c r="J248" s="150">
        <v>9</v>
      </c>
      <c r="K248" s="150">
        <v>868</v>
      </c>
      <c r="L248" s="149">
        <v>168</v>
      </c>
    </row>
    <row r="249" spans="1:12">
      <c r="A249" s="147" t="s">
        <v>351</v>
      </c>
      <c r="B249" s="147">
        <v>10211316</v>
      </c>
      <c r="C249" s="147" t="s">
        <v>138</v>
      </c>
      <c r="D249" s="147" t="s">
        <v>158</v>
      </c>
      <c r="E249" s="147" t="s">
        <v>99</v>
      </c>
      <c r="F249" s="148" t="s">
        <v>371</v>
      </c>
      <c r="G249" s="147" t="s">
        <v>139</v>
      </c>
      <c r="H249" s="149">
        <v>84</v>
      </c>
      <c r="I249" s="150">
        <v>2</v>
      </c>
      <c r="J249" s="150">
        <v>9</v>
      </c>
      <c r="K249" s="150">
        <v>261</v>
      </c>
      <c r="L249" s="149">
        <v>168</v>
      </c>
    </row>
    <row r="250" spans="1:12">
      <c r="A250" s="147" t="s">
        <v>351</v>
      </c>
      <c r="B250" s="147">
        <v>10211316</v>
      </c>
      <c r="C250" s="147" t="s">
        <v>138</v>
      </c>
      <c r="D250" s="147" t="s">
        <v>158</v>
      </c>
      <c r="E250" s="147" t="s">
        <v>99</v>
      </c>
      <c r="F250" s="148" t="s">
        <v>372</v>
      </c>
      <c r="G250" s="147" t="s">
        <v>139</v>
      </c>
      <c r="H250" s="149">
        <v>84</v>
      </c>
      <c r="I250" s="150">
        <v>2</v>
      </c>
      <c r="J250" s="150">
        <v>9</v>
      </c>
      <c r="K250" s="150">
        <v>675</v>
      </c>
      <c r="L250" s="149">
        <v>168</v>
      </c>
    </row>
    <row r="251" spans="1:12">
      <c r="A251" s="147" t="s">
        <v>351</v>
      </c>
      <c r="B251" s="147">
        <v>10211316</v>
      </c>
      <c r="C251" s="147" t="s">
        <v>138</v>
      </c>
      <c r="D251" s="147" t="s">
        <v>158</v>
      </c>
      <c r="E251" s="147" t="s">
        <v>99</v>
      </c>
      <c r="F251" s="148" t="s">
        <v>373</v>
      </c>
      <c r="G251" s="147" t="s">
        <v>139</v>
      </c>
      <c r="H251" s="149">
        <v>84</v>
      </c>
      <c r="I251" s="150">
        <v>2</v>
      </c>
      <c r="J251" s="150">
        <v>9</v>
      </c>
      <c r="K251" s="150">
        <v>798</v>
      </c>
      <c r="L251" s="149">
        <v>168</v>
      </c>
    </row>
    <row r="252" spans="1:12">
      <c r="A252" s="147" t="s">
        <v>351</v>
      </c>
      <c r="B252" s="147">
        <v>10211316</v>
      </c>
      <c r="C252" s="147" t="s">
        <v>138</v>
      </c>
      <c r="D252" s="147" t="s">
        <v>158</v>
      </c>
      <c r="E252" s="147" t="s">
        <v>99</v>
      </c>
      <c r="F252" s="148" t="s">
        <v>374</v>
      </c>
      <c r="G252" s="147" t="s">
        <v>139</v>
      </c>
      <c r="H252" s="149">
        <v>84</v>
      </c>
      <c r="I252" s="150">
        <v>2</v>
      </c>
      <c r="J252" s="150">
        <v>9</v>
      </c>
      <c r="K252" s="150">
        <v>828</v>
      </c>
      <c r="L252" s="149">
        <v>168</v>
      </c>
    </row>
    <row r="253" spans="1:12">
      <c r="A253" s="147" t="s">
        <v>351</v>
      </c>
      <c r="B253" s="147">
        <v>10211316</v>
      </c>
      <c r="C253" s="147" t="s">
        <v>138</v>
      </c>
      <c r="D253" s="147" t="s">
        <v>158</v>
      </c>
      <c r="E253" s="147" t="s">
        <v>99</v>
      </c>
      <c r="F253" s="148" t="s">
        <v>375</v>
      </c>
      <c r="G253" s="147" t="s">
        <v>139</v>
      </c>
      <c r="H253" s="149">
        <v>84</v>
      </c>
      <c r="I253" s="150">
        <v>2</v>
      </c>
      <c r="J253" s="150">
        <v>9</v>
      </c>
      <c r="K253" s="150">
        <v>298</v>
      </c>
      <c r="L253" s="149">
        <v>168</v>
      </c>
    </row>
    <row r="254" spans="1:12">
      <c r="A254" s="147" t="s">
        <v>351</v>
      </c>
      <c r="B254" s="147">
        <v>10211316</v>
      </c>
      <c r="C254" s="147" t="s">
        <v>138</v>
      </c>
      <c r="D254" s="147" t="s">
        <v>158</v>
      </c>
      <c r="E254" s="147" t="s">
        <v>99</v>
      </c>
      <c r="F254" s="148" t="s">
        <v>376</v>
      </c>
      <c r="G254" s="147" t="s">
        <v>139</v>
      </c>
      <c r="H254" s="149">
        <v>84</v>
      </c>
      <c r="I254" s="150">
        <v>2</v>
      </c>
      <c r="J254" s="150">
        <v>9</v>
      </c>
      <c r="K254" s="150">
        <v>768</v>
      </c>
      <c r="L254" s="149">
        <v>168</v>
      </c>
    </row>
    <row r="255" spans="1:12">
      <c r="A255" s="147" t="s">
        <v>351</v>
      </c>
      <c r="B255" s="147">
        <v>10211316</v>
      </c>
      <c r="C255" s="147" t="s">
        <v>138</v>
      </c>
      <c r="D255" s="147" t="s">
        <v>158</v>
      </c>
      <c r="E255" s="147" t="s">
        <v>99</v>
      </c>
      <c r="F255" s="148" t="s">
        <v>377</v>
      </c>
      <c r="G255" s="147" t="s">
        <v>139</v>
      </c>
      <c r="H255" s="149">
        <v>84</v>
      </c>
      <c r="I255" s="150">
        <v>2</v>
      </c>
      <c r="J255" s="150">
        <v>9</v>
      </c>
      <c r="K255" s="150">
        <v>968</v>
      </c>
      <c r="L255" s="149">
        <v>168</v>
      </c>
    </row>
    <row r="256" spans="1:12">
      <c r="A256" s="147" t="s">
        <v>351</v>
      </c>
      <c r="B256" s="147">
        <v>10211316</v>
      </c>
      <c r="C256" s="147" t="s">
        <v>138</v>
      </c>
      <c r="D256" s="147" t="s">
        <v>158</v>
      </c>
      <c r="E256" s="147" t="s">
        <v>99</v>
      </c>
      <c r="F256" s="148" t="s">
        <v>378</v>
      </c>
      <c r="G256" s="147" t="s">
        <v>139</v>
      </c>
      <c r="H256" s="149">
        <v>84</v>
      </c>
      <c r="I256" s="150">
        <v>2</v>
      </c>
      <c r="J256" s="150">
        <v>9</v>
      </c>
      <c r="K256" s="150">
        <v>887</v>
      </c>
      <c r="L256" s="149">
        <v>168</v>
      </c>
    </row>
    <row r="257" spans="1:12">
      <c r="A257" s="147" t="s">
        <v>379</v>
      </c>
      <c r="B257" s="147">
        <v>10211316</v>
      </c>
      <c r="C257" s="147" t="s">
        <v>138</v>
      </c>
      <c r="D257" s="147" t="s">
        <v>158</v>
      </c>
      <c r="E257" s="147" t="s">
        <v>99</v>
      </c>
      <c r="F257" s="148" t="s">
        <v>380</v>
      </c>
      <c r="G257" s="147" t="s">
        <v>139</v>
      </c>
      <c r="H257" s="149">
        <v>84</v>
      </c>
      <c r="I257" s="150">
        <v>2</v>
      </c>
      <c r="J257" s="150">
        <v>9</v>
      </c>
      <c r="K257" s="150">
        <v>1132</v>
      </c>
      <c r="L257" s="149">
        <v>168</v>
      </c>
    </row>
    <row r="258" spans="1:12">
      <c r="A258" s="147" t="s">
        <v>379</v>
      </c>
      <c r="B258" s="147">
        <v>10211316</v>
      </c>
      <c r="C258" s="147" t="s">
        <v>138</v>
      </c>
      <c r="D258" s="147" t="s">
        <v>158</v>
      </c>
      <c r="E258" s="147" t="s">
        <v>99</v>
      </c>
      <c r="F258" s="148" t="s">
        <v>381</v>
      </c>
      <c r="G258" s="147" t="s">
        <v>139</v>
      </c>
      <c r="H258" s="149">
        <v>84</v>
      </c>
      <c r="I258" s="150">
        <v>2</v>
      </c>
      <c r="J258" s="150">
        <v>9</v>
      </c>
      <c r="K258" s="150">
        <v>587</v>
      </c>
      <c r="L258" s="149">
        <v>168</v>
      </c>
    </row>
    <row r="259" spans="1:12">
      <c r="A259" s="147" t="s">
        <v>379</v>
      </c>
      <c r="B259" s="147">
        <v>10211316</v>
      </c>
      <c r="C259" s="147" t="s">
        <v>138</v>
      </c>
      <c r="D259" s="147" t="s">
        <v>158</v>
      </c>
      <c r="E259" s="147" t="s">
        <v>99</v>
      </c>
      <c r="F259" s="148" t="s">
        <v>382</v>
      </c>
      <c r="G259" s="147" t="s">
        <v>139</v>
      </c>
      <c r="H259" s="149">
        <v>84</v>
      </c>
      <c r="I259" s="150">
        <v>2</v>
      </c>
      <c r="J259" s="150">
        <v>9</v>
      </c>
      <c r="K259" s="150">
        <v>84</v>
      </c>
      <c r="L259" s="149">
        <v>168</v>
      </c>
    </row>
    <row r="260" spans="1:12">
      <c r="A260" s="147" t="s">
        <v>379</v>
      </c>
      <c r="B260" s="147">
        <v>10211316</v>
      </c>
      <c r="C260" s="147" t="s">
        <v>138</v>
      </c>
      <c r="D260" s="147" t="s">
        <v>158</v>
      </c>
      <c r="E260" s="147" t="s">
        <v>99</v>
      </c>
      <c r="F260" s="148" t="s">
        <v>383</v>
      </c>
      <c r="G260" s="147" t="s">
        <v>139</v>
      </c>
      <c r="H260" s="149">
        <v>84</v>
      </c>
      <c r="I260" s="150">
        <v>2</v>
      </c>
      <c r="J260" s="150">
        <v>9</v>
      </c>
      <c r="K260" s="150">
        <v>785</v>
      </c>
      <c r="L260" s="149">
        <v>168</v>
      </c>
    </row>
    <row r="261" spans="1:12">
      <c r="A261" s="147" t="s">
        <v>379</v>
      </c>
      <c r="B261" s="147">
        <v>10211316</v>
      </c>
      <c r="C261" s="147" t="s">
        <v>138</v>
      </c>
      <c r="D261" s="147" t="s">
        <v>158</v>
      </c>
      <c r="E261" s="147" t="s">
        <v>99</v>
      </c>
      <c r="F261" s="148" t="s">
        <v>384</v>
      </c>
      <c r="G261" s="147" t="s">
        <v>139</v>
      </c>
      <c r="H261" s="149">
        <v>84</v>
      </c>
      <c r="I261" s="150">
        <v>2</v>
      </c>
      <c r="J261" s="150">
        <v>9</v>
      </c>
      <c r="K261" s="150">
        <v>317</v>
      </c>
      <c r="L261" s="149">
        <v>168</v>
      </c>
    </row>
    <row r="262" spans="1:12">
      <c r="A262" s="147" t="s">
        <v>379</v>
      </c>
      <c r="B262" s="147">
        <v>10211316</v>
      </c>
      <c r="C262" s="147" t="s">
        <v>138</v>
      </c>
      <c r="D262" s="147" t="s">
        <v>158</v>
      </c>
      <c r="E262" s="147" t="s">
        <v>99</v>
      </c>
      <c r="F262" s="148" t="s">
        <v>385</v>
      </c>
      <c r="G262" s="147" t="s">
        <v>139</v>
      </c>
      <c r="H262" s="149">
        <v>84</v>
      </c>
      <c r="I262" s="150">
        <v>2</v>
      </c>
      <c r="J262" s="150">
        <v>9</v>
      </c>
      <c r="K262" s="150">
        <v>176</v>
      </c>
      <c r="L262" s="149">
        <v>168</v>
      </c>
    </row>
    <row r="263" spans="1:12">
      <c r="A263" s="147" t="s">
        <v>379</v>
      </c>
      <c r="B263" s="147">
        <v>10211316</v>
      </c>
      <c r="C263" s="147" t="s">
        <v>138</v>
      </c>
      <c r="D263" s="147" t="s">
        <v>158</v>
      </c>
      <c r="E263" s="147" t="s">
        <v>99</v>
      </c>
      <c r="F263" s="148" t="s">
        <v>386</v>
      </c>
      <c r="G263" s="147" t="s">
        <v>139</v>
      </c>
      <c r="H263" s="149">
        <v>84</v>
      </c>
      <c r="I263" s="150">
        <v>2</v>
      </c>
      <c r="J263" s="150">
        <v>9</v>
      </c>
      <c r="K263" s="150">
        <v>448</v>
      </c>
      <c r="L263" s="149">
        <v>168</v>
      </c>
    </row>
    <row r="264" spans="1:12">
      <c r="A264" s="147" t="s">
        <v>379</v>
      </c>
      <c r="B264" s="147">
        <v>10211316</v>
      </c>
      <c r="C264" s="147" t="s">
        <v>138</v>
      </c>
      <c r="D264" s="147" t="s">
        <v>158</v>
      </c>
      <c r="E264" s="147" t="s">
        <v>99</v>
      </c>
      <c r="F264" s="148" t="s">
        <v>387</v>
      </c>
      <c r="G264" s="147" t="s">
        <v>139</v>
      </c>
      <c r="H264" s="149">
        <v>84</v>
      </c>
      <c r="I264" s="150">
        <v>2</v>
      </c>
      <c r="J264" s="150">
        <v>9</v>
      </c>
      <c r="K264" s="150">
        <v>121</v>
      </c>
      <c r="L264" s="149">
        <v>168</v>
      </c>
    </row>
    <row r="265" spans="1:12">
      <c r="A265" s="147" t="s">
        <v>379</v>
      </c>
      <c r="B265" s="147">
        <v>10211316</v>
      </c>
      <c r="C265" s="147" t="s">
        <v>138</v>
      </c>
      <c r="D265" s="147" t="s">
        <v>158</v>
      </c>
      <c r="E265" s="147" t="s">
        <v>99</v>
      </c>
      <c r="F265" s="148" t="s">
        <v>388</v>
      </c>
      <c r="G265" s="147" t="s">
        <v>139</v>
      </c>
      <c r="H265" s="149">
        <v>84</v>
      </c>
      <c r="I265" s="150">
        <v>2</v>
      </c>
      <c r="J265" s="150">
        <v>9</v>
      </c>
      <c r="K265" s="150">
        <v>271</v>
      </c>
      <c r="L265" s="149">
        <v>168</v>
      </c>
    </row>
    <row r="266" spans="1:12">
      <c r="A266" s="147" t="s">
        <v>379</v>
      </c>
      <c r="B266" s="147">
        <v>10211316</v>
      </c>
      <c r="C266" s="147" t="s">
        <v>138</v>
      </c>
      <c r="D266" s="147" t="s">
        <v>158</v>
      </c>
      <c r="E266" s="147" t="s">
        <v>99</v>
      </c>
      <c r="F266" s="148" t="s">
        <v>389</v>
      </c>
      <c r="G266" s="147" t="s">
        <v>139</v>
      </c>
      <c r="H266" s="149">
        <v>84</v>
      </c>
      <c r="I266" s="150">
        <v>2</v>
      </c>
      <c r="J266" s="150">
        <v>9</v>
      </c>
      <c r="K266" s="150">
        <v>184</v>
      </c>
      <c r="L266" s="149">
        <v>168</v>
      </c>
    </row>
    <row r="267" spans="1:12">
      <c r="A267" s="147" t="s">
        <v>379</v>
      </c>
      <c r="B267" s="147">
        <v>10211316</v>
      </c>
      <c r="C267" s="147" t="s">
        <v>138</v>
      </c>
      <c r="D267" s="147" t="s">
        <v>158</v>
      </c>
      <c r="E267" s="147" t="s">
        <v>99</v>
      </c>
      <c r="F267" s="148" t="s">
        <v>390</v>
      </c>
      <c r="G267" s="147" t="s">
        <v>139</v>
      </c>
      <c r="H267" s="149">
        <v>84</v>
      </c>
      <c r="I267" s="150">
        <v>2</v>
      </c>
      <c r="J267" s="150">
        <v>9</v>
      </c>
      <c r="K267" s="150">
        <v>240</v>
      </c>
      <c r="L267" s="149">
        <v>168</v>
      </c>
    </row>
    <row r="268" spans="1:12">
      <c r="A268" s="147" t="s">
        <v>379</v>
      </c>
      <c r="B268" s="147">
        <v>10211316</v>
      </c>
      <c r="C268" s="147" t="s">
        <v>138</v>
      </c>
      <c r="D268" s="147" t="s">
        <v>158</v>
      </c>
      <c r="E268" s="147" t="s">
        <v>99</v>
      </c>
      <c r="F268" s="148" t="s">
        <v>391</v>
      </c>
      <c r="G268" s="147" t="s">
        <v>139</v>
      </c>
      <c r="H268" s="149">
        <v>84</v>
      </c>
      <c r="I268" s="150">
        <v>2</v>
      </c>
      <c r="J268" s="150">
        <v>9</v>
      </c>
      <c r="K268" s="150">
        <v>373</v>
      </c>
      <c r="L268" s="149">
        <v>168</v>
      </c>
    </row>
    <row r="269" spans="1:12">
      <c r="A269" s="147" t="s">
        <v>379</v>
      </c>
      <c r="B269" s="147">
        <v>10211316</v>
      </c>
      <c r="C269" s="147" t="s">
        <v>138</v>
      </c>
      <c r="D269" s="147" t="s">
        <v>158</v>
      </c>
      <c r="E269" s="147" t="s">
        <v>99</v>
      </c>
      <c r="F269" s="148" t="s">
        <v>392</v>
      </c>
      <c r="G269" s="147" t="s">
        <v>139</v>
      </c>
      <c r="H269" s="149">
        <v>84</v>
      </c>
      <c r="I269" s="150">
        <v>2</v>
      </c>
      <c r="J269" s="150">
        <v>9</v>
      </c>
      <c r="K269" s="150">
        <v>120</v>
      </c>
      <c r="L269" s="149">
        <v>168</v>
      </c>
    </row>
    <row r="270" spans="1:12">
      <c r="A270" s="147" t="s">
        <v>379</v>
      </c>
      <c r="B270" s="147">
        <v>10211316</v>
      </c>
      <c r="C270" s="147" t="s">
        <v>138</v>
      </c>
      <c r="D270" s="147" t="s">
        <v>158</v>
      </c>
      <c r="E270" s="147" t="s">
        <v>99</v>
      </c>
      <c r="F270" s="148" t="s">
        <v>393</v>
      </c>
      <c r="G270" s="147" t="s">
        <v>139</v>
      </c>
      <c r="H270" s="149">
        <v>84</v>
      </c>
      <c r="I270" s="150">
        <v>0</v>
      </c>
      <c r="J270" s="150">
        <v>0</v>
      </c>
      <c r="K270" s="150">
        <v>0</v>
      </c>
      <c r="L270" s="149">
        <v>0</v>
      </c>
    </row>
    <row r="271" spans="1:12">
      <c r="A271" s="147" t="s">
        <v>379</v>
      </c>
      <c r="B271" s="147">
        <v>10211316</v>
      </c>
      <c r="C271" s="147" t="s">
        <v>138</v>
      </c>
      <c r="D271" s="147" t="s">
        <v>158</v>
      </c>
      <c r="E271" s="147" t="s">
        <v>99</v>
      </c>
      <c r="F271" s="148" t="s">
        <v>394</v>
      </c>
      <c r="G271" s="147" t="s">
        <v>139</v>
      </c>
      <c r="H271" s="149">
        <v>84</v>
      </c>
      <c r="I271" s="150">
        <v>2</v>
      </c>
      <c r="J271" s="150">
        <v>9</v>
      </c>
      <c r="K271" s="150">
        <v>67</v>
      </c>
      <c r="L271" s="149">
        <v>168</v>
      </c>
    </row>
    <row r="272" spans="1:12">
      <c r="A272" s="147" t="s">
        <v>379</v>
      </c>
      <c r="B272" s="147">
        <v>10211316</v>
      </c>
      <c r="C272" s="147" t="s">
        <v>138</v>
      </c>
      <c r="D272" s="147" t="s">
        <v>158</v>
      </c>
      <c r="E272" s="147" t="s">
        <v>99</v>
      </c>
      <c r="F272" s="148" t="s">
        <v>395</v>
      </c>
      <c r="G272" s="147" t="s">
        <v>139</v>
      </c>
      <c r="H272" s="149">
        <v>84</v>
      </c>
      <c r="I272" s="150">
        <v>0</v>
      </c>
      <c r="J272" s="150">
        <v>0</v>
      </c>
      <c r="K272" s="150">
        <v>0</v>
      </c>
      <c r="L272" s="149">
        <v>0</v>
      </c>
    </row>
    <row r="273" spans="1:12">
      <c r="A273" s="147" t="s">
        <v>379</v>
      </c>
      <c r="B273" s="147">
        <v>10211316</v>
      </c>
      <c r="C273" s="147" t="s">
        <v>138</v>
      </c>
      <c r="D273" s="147" t="s">
        <v>158</v>
      </c>
      <c r="E273" s="147" t="s">
        <v>99</v>
      </c>
      <c r="F273" s="148" t="s">
        <v>396</v>
      </c>
      <c r="G273" s="147" t="s">
        <v>139</v>
      </c>
      <c r="H273" s="149">
        <v>84</v>
      </c>
      <c r="I273" s="150">
        <v>2</v>
      </c>
      <c r="J273" s="150">
        <v>9</v>
      </c>
      <c r="K273" s="150">
        <v>468</v>
      </c>
      <c r="L273" s="149">
        <v>168</v>
      </c>
    </row>
    <row r="274" spans="1:12">
      <c r="A274" s="147" t="s">
        <v>379</v>
      </c>
      <c r="B274" s="147">
        <v>10211316</v>
      </c>
      <c r="C274" s="147" t="s">
        <v>138</v>
      </c>
      <c r="D274" s="147" t="s">
        <v>158</v>
      </c>
      <c r="E274" s="147" t="s">
        <v>99</v>
      </c>
      <c r="F274" s="148" t="s">
        <v>397</v>
      </c>
      <c r="G274" s="147" t="s">
        <v>139</v>
      </c>
      <c r="H274" s="149">
        <v>84</v>
      </c>
      <c r="I274" s="150">
        <v>1</v>
      </c>
      <c r="J274" s="150">
        <v>4.5</v>
      </c>
      <c r="K274" s="150">
        <v>270</v>
      </c>
      <c r="L274" s="149">
        <v>84</v>
      </c>
    </row>
    <row r="275" spans="1:12">
      <c r="A275" s="147" t="s">
        <v>379</v>
      </c>
      <c r="B275" s="147">
        <v>10211316</v>
      </c>
      <c r="C275" s="147" t="s">
        <v>138</v>
      </c>
      <c r="D275" s="147" t="s">
        <v>158</v>
      </c>
      <c r="E275" s="147" t="s">
        <v>99</v>
      </c>
      <c r="F275" s="148" t="s">
        <v>398</v>
      </c>
      <c r="G275" s="147" t="s">
        <v>139</v>
      </c>
      <c r="H275" s="149">
        <v>84</v>
      </c>
      <c r="I275" s="150">
        <v>2</v>
      </c>
      <c r="J275" s="150">
        <v>9</v>
      </c>
      <c r="K275" s="150">
        <v>658</v>
      </c>
      <c r="L275" s="149">
        <v>168</v>
      </c>
    </row>
    <row r="276" spans="1:12">
      <c r="A276" s="147" t="s">
        <v>379</v>
      </c>
      <c r="B276" s="147">
        <v>10211316</v>
      </c>
      <c r="C276" s="147" t="s">
        <v>138</v>
      </c>
      <c r="D276" s="147" t="s">
        <v>158</v>
      </c>
      <c r="E276" s="147" t="s">
        <v>99</v>
      </c>
      <c r="F276" s="148" t="s">
        <v>399</v>
      </c>
      <c r="G276" s="147" t="s">
        <v>139</v>
      </c>
      <c r="H276" s="149">
        <v>84</v>
      </c>
      <c r="I276" s="150">
        <v>2</v>
      </c>
      <c r="J276" s="150">
        <v>9</v>
      </c>
      <c r="K276" s="150">
        <v>637</v>
      </c>
      <c r="L276" s="149">
        <v>168</v>
      </c>
    </row>
    <row r="277" spans="1:12">
      <c r="A277" s="147" t="s">
        <v>379</v>
      </c>
      <c r="B277" s="147">
        <v>10211316</v>
      </c>
      <c r="C277" s="147" t="s">
        <v>138</v>
      </c>
      <c r="D277" s="147" t="s">
        <v>158</v>
      </c>
      <c r="E277" s="147" t="s">
        <v>99</v>
      </c>
      <c r="F277" s="148" t="s">
        <v>400</v>
      </c>
      <c r="G277" s="147" t="s">
        <v>139</v>
      </c>
      <c r="H277" s="149">
        <v>84</v>
      </c>
      <c r="I277" s="150">
        <v>2</v>
      </c>
      <c r="J277" s="150">
        <v>9</v>
      </c>
      <c r="K277" s="150">
        <v>269</v>
      </c>
      <c r="L277" s="149">
        <v>168</v>
      </c>
    </row>
    <row r="278" spans="1:12">
      <c r="A278" s="147" t="s">
        <v>379</v>
      </c>
      <c r="B278" s="147">
        <v>10211316</v>
      </c>
      <c r="C278" s="147" t="s">
        <v>138</v>
      </c>
      <c r="D278" s="147" t="s">
        <v>158</v>
      </c>
      <c r="E278" s="147" t="s">
        <v>99</v>
      </c>
      <c r="F278" s="148" t="s">
        <v>401</v>
      </c>
      <c r="G278" s="147" t="s">
        <v>139</v>
      </c>
      <c r="H278" s="149">
        <v>84</v>
      </c>
      <c r="I278" s="150">
        <v>1</v>
      </c>
      <c r="J278" s="150">
        <v>4.5</v>
      </c>
      <c r="K278" s="150">
        <v>89</v>
      </c>
      <c r="L278" s="149">
        <v>84</v>
      </c>
    </row>
    <row r="279" spans="1:12">
      <c r="A279" s="147" t="s">
        <v>379</v>
      </c>
      <c r="B279" s="147">
        <v>10211316</v>
      </c>
      <c r="C279" s="147" t="s">
        <v>138</v>
      </c>
      <c r="D279" s="147" t="s">
        <v>158</v>
      </c>
      <c r="E279" s="147" t="s">
        <v>99</v>
      </c>
      <c r="F279" s="148" t="s">
        <v>402</v>
      </c>
      <c r="G279" s="147" t="s">
        <v>139</v>
      </c>
      <c r="H279" s="149">
        <v>84</v>
      </c>
      <c r="I279" s="150">
        <v>2</v>
      </c>
      <c r="J279" s="150">
        <v>9</v>
      </c>
      <c r="K279" s="150">
        <v>828</v>
      </c>
      <c r="L279" s="149">
        <v>168</v>
      </c>
    </row>
    <row r="280" spans="1:12">
      <c r="A280" s="147" t="s">
        <v>379</v>
      </c>
      <c r="B280" s="147">
        <v>10211316</v>
      </c>
      <c r="C280" s="147" t="s">
        <v>138</v>
      </c>
      <c r="D280" s="147" t="s">
        <v>158</v>
      </c>
      <c r="E280" s="147" t="s">
        <v>99</v>
      </c>
      <c r="F280" s="148" t="s">
        <v>403</v>
      </c>
      <c r="G280" s="147" t="s">
        <v>139</v>
      </c>
      <c r="H280" s="149">
        <v>84</v>
      </c>
      <c r="I280" s="150">
        <v>2</v>
      </c>
      <c r="J280" s="150">
        <v>9</v>
      </c>
      <c r="K280" s="150">
        <v>720</v>
      </c>
      <c r="L280" s="149">
        <v>168</v>
      </c>
    </row>
    <row r="281" spans="1:12">
      <c r="A281" s="147" t="s">
        <v>379</v>
      </c>
      <c r="B281" s="147">
        <v>10211316</v>
      </c>
      <c r="C281" s="147" t="s">
        <v>138</v>
      </c>
      <c r="D281" s="147" t="s">
        <v>158</v>
      </c>
      <c r="E281" s="147" t="s">
        <v>99</v>
      </c>
      <c r="F281" s="148" t="s">
        <v>404</v>
      </c>
      <c r="G281" s="147" t="s">
        <v>139</v>
      </c>
      <c r="H281" s="149">
        <v>84</v>
      </c>
      <c r="I281" s="150">
        <v>2</v>
      </c>
      <c r="J281" s="150">
        <v>9</v>
      </c>
      <c r="K281" s="150">
        <v>708</v>
      </c>
      <c r="L281" s="149">
        <v>168</v>
      </c>
    </row>
    <row r="282" spans="1:12">
      <c r="A282" s="147" t="s">
        <v>379</v>
      </c>
      <c r="B282" s="147">
        <v>10211316</v>
      </c>
      <c r="C282" s="147" t="s">
        <v>138</v>
      </c>
      <c r="D282" s="147" t="s">
        <v>158</v>
      </c>
      <c r="E282" s="147" t="s">
        <v>99</v>
      </c>
      <c r="F282" s="148" t="s">
        <v>405</v>
      </c>
      <c r="G282" s="147" t="s">
        <v>139</v>
      </c>
      <c r="H282" s="149">
        <v>84</v>
      </c>
      <c r="I282" s="150">
        <v>2</v>
      </c>
      <c r="J282" s="150">
        <v>9</v>
      </c>
      <c r="K282" s="150">
        <v>740</v>
      </c>
      <c r="L282" s="149">
        <v>168</v>
      </c>
    </row>
    <row r="283" spans="1:12">
      <c r="A283" s="147" t="s">
        <v>406</v>
      </c>
      <c r="B283" s="147">
        <v>10211316</v>
      </c>
      <c r="C283" s="147" t="s">
        <v>138</v>
      </c>
      <c r="D283" s="147" t="s">
        <v>158</v>
      </c>
      <c r="E283" s="147" t="s">
        <v>99</v>
      </c>
      <c r="F283" s="148" t="s">
        <v>407</v>
      </c>
      <c r="G283" s="147" t="s">
        <v>139</v>
      </c>
      <c r="H283" s="149">
        <v>84</v>
      </c>
      <c r="I283" s="150">
        <v>0</v>
      </c>
      <c r="J283" s="150">
        <v>0</v>
      </c>
      <c r="K283" s="150">
        <v>141</v>
      </c>
      <c r="L283" s="149">
        <v>0</v>
      </c>
    </row>
    <row r="284" spans="1:12">
      <c r="A284" s="147" t="s">
        <v>406</v>
      </c>
      <c r="B284" s="147">
        <v>10211316</v>
      </c>
      <c r="C284" s="147" t="s">
        <v>138</v>
      </c>
      <c r="D284" s="147" t="s">
        <v>158</v>
      </c>
      <c r="E284" s="147" t="s">
        <v>99</v>
      </c>
      <c r="F284" s="148" t="s">
        <v>407</v>
      </c>
      <c r="G284" s="147" t="s">
        <v>139</v>
      </c>
      <c r="H284" s="149">
        <v>112.2</v>
      </c>
      <c r="I284" s="150">
        <v>2</v>
      </c>
      <c r="J284" s="150">
        <v>9</v>
      </c>
      <c r="K284" s="150">
        <v>261</v>
      </c>
      <c r="L284" s="149">
        <v>224.4</v>
      </c>
    </row>
    <row r="285" spans="1:12">
      <c r="A285" s="147" t="s">
        <v>406</v>
      </c>
      <c r="B285" s="147">
        <v>10211316</v>
      </c>
      <c r="C285" s="147" t="s">
        <v>138</v>
      </c>
      <c r="D285" s="147" t="s">
        <v>158</v>
      </c>
      <c r="E285" s="147" t="s">
        <v>99</v>
      </c>
      <c r="F285" s="148" t="s">
        <v>408</v>
      </c>
      <c r="G285" s="147" t="s">
        <v>139</v>
      </c>
      <c r="H285" s="149">
        <v>84</v>
      </c>
      <c r="I285" s="150">
        <v>0</v>
      </c>
      <c r="J285" s="150">
        <v>0</v>
      </c>
      <c r="K285" s="150">
        <v>169</v>
      </c>
      <c r="L285" s="149">
        <v>0</v>
      </c>
    </row>
    <row r="286" spans="1:12">
      <c r="A286" s="147" t="s">
        <v>406</v>
      </c>
      <c r="B286" s="147">
        <v>10211316</v>
      </c>
      <c r="C286" s="147" t="s">
        <v>138</v>
      </c>
      <c r="D286" s="147" t="s">
        <v>158</v>
      </c>
      <c r="E286" s="147" t="s">
        <v>99</v>
      </c>
      <c r="F286" s="148" t="s">
        <v>408</v>
      </c>
      <c r="G286" s="147" t="s">
        <v>139</v>
      </c>
      <c r="H286" s="149">
        <v>112.2</v>
      </c>
      <c r="I286" s="150">
        <v>1</v>
      </c>
      <c r="J286" s="150">
        <v>4.5</v>
      </c>
      <c r="K286" s="150">
        <v>130.5</v>
      </c>
      <c r="L286" s="149">
        <v>112.2</v>
      </c>
    </row>
    <row r="287" spans="1:12">
      <c r="A287" s="147" t="s">
        <v>406</v>
      </c>
      <c r="B287" s="147">
        <v>10211316</v>
      </c>
      <c r="C287" s="147" t="s">
        <v>138</v>
      </c>
      <c r="D287" s="147" t="s">
        <v>158</v>
      </c>
      <c r="E287" s="147" t="s">
        <v>99</v>
      </c>
      <c r="F287" s="148" t="s">
        <v>409</v>
      </c>
      <c r="G287" s="147" t="s">
        <v>139</v>
      </c>
      <c r="H287" s="149">
        <v>84</v>
      </c>
      <c r="I287" s="150">
        <v>0</v>
      </c>
      <c r="J287" s="150">
        <v>0</v>
      </c>
      <c r="K287" s="150">
        <v>762</v>
      </c>
      <c r="L287" s="149">
        <v>0</v>
      </c>
    </row>
    <row r="288" spans="1:12">
      <c r="A288" s="147" t="s">
        <v>406</v>
      </c>
      <c r="B288" s="147">
        <v>10211316</v>
      </c>
      <c r="C288" s="147" t="s">
        <v>138</v>
      </c>
      <c r="D288" s="147" t="s">
        <v>158</v>
      </c>
      <c r="E288" s="147" t="s">
        <v>99</v>
      </c>
      <c r="F288" s="148" t="s">
        <v>409</v>
      </c>
      <c r="G288" s="147" t="s">
        <v>139</v>
      </c>
      <c r="H288" s="149">
        <v>112.2</v>
      </c>
      <c r="I288" s="150">
        <v>2</v>
      </c>
      <c r="J288" s="150">
        <v>9</v>
      </c>
      <c r="K288" s="150">
        <v>261</v>
      </c>
      <c r="L288" s="149">
        <v>224.4</v>
      </c>
    </row>
    <row r="289" spans="1:12">
      <c r="A289" s="147" t="s">
        <v>406</v>
      </c>
      <c r="B289" s="147">
        <v>10211316</v>
      </c>
      <c r="C289" s="147" t="s">
        <v>138</v>
      </c>
      <c r="D289" s="147" t="s">
        <v>158</v>
      </c>
      <c r="E289" s="147" t="s">
        <v>99</v>
      </c>
      <c r="F289" s="148" t="s">
        <v>410</v>
      </c>
      <c r="G289" s="147" t="s">
        <v>139</v>
      </c>
      <c r="H289" s="149">
        <v>84</v>
      </c>
      <c r="I289" s="150">
        <v>0</v>
      </c>
      <c r="J289" s="150">
        <v>0</v>
      </c>
      <c r="K289" s="150">
        <v>512</v>
      </c>
      <c r="L289" s="149">
        <v>0</v>
      </c>
    </row>
    <row r="290" spans="1:12">
      <c r="A290" s="147" t="s">
        <v>406</v>
      </c>
      <c r="B290" s="147">
        <v>10211316</v>
      </c>
      <c r="C290" s="147" t="s">
        <v>138</v>
      </c>
      <c r="D290" s="147" t="s">
        <v>158</v>
      </c>
      <c r="E290" s="147" t="s">
        <v>99</v>
      </c>
      <c r="F290" s="148" t="s">
        <v>410</v>
      </c>
      <c r="G290" s="147" t="s">
        <v>139</v>
      </c>
      <c r="H290" s="149">
        <v>112.2</v>
      </c>
      <c r="I290" s="150">
        <v>2</v>
      </c>
      <c r="J290" s="150">
        <v>9</v>
      </c>
      <c r="K290" s="150">
        <v>261</v>
      </c>
      <c r="L290" s="149">
        <v>224.4</v>
      </c>
    </row>
    <row r="291" spans="1:12">
      <c r="A291" s="147" t="s">
        <v>406</v>
      </c>
      <c r="B291" s="147">
        <v>10211316</v>
      </c>
      <c r="C291" s="147" t="s">
        <v>138</v>
      </c>
      <c r="D291" s="147" t="s">
        <v>158</v>
      </c>
      <c r="E291" s="147" t="s">
        <v>99</v>
      </c>
      <c r="F291" s="148" t="s">
        <v>411</v>
      </c>
      <c r="G291" s="147" t="s">
        <v>139</v>
      </c>
      <c r="H291" s="149">
        <v>84</v>
      </c>
      <c r="I291" s="150">
        <v>0</v>
      </c>
      <c r="J291" s="150">
        <v>0</v>
      </c>
      <c r="K291" s="150">
        <v>858</v>
      </c>
      <c r="L291" s="149">
        <v>0</v>
      </c>
    </row>
    <row r="292" spans="1:12">
      <c r="A292" s="147" t="s">
        <v>406</v>
      </c>
      <c r="B292" s="147">
        <v>10211316</v>
      </c>
      <c r="C292" s="147" t="s">
        <v>138</v>
      </c>
      <c r="D292" s="147" t="s">
        <v>158</v>
      </c>
      <c r="E292" s="147" t="s">
        <v>99</v>
      </c>
      <c r="F292" s="148" t="s">
        <v>411</v>
      </c>
      <c r="G292" s="147" t="s">
        <v>139</v>
      </c>
      <c r="H292" s="149">
        <v>112.2</v>
      </c>
      <c r="I292" s="150">
        <v>2</v>
      </c>
      <c r="J292" s="150">
        <v>9</v>
      </c>
      <c r="K292" s="150">
        <v>261</v>
      </c>
      <c r="L292" s="149">
        <v>224.4</v>
      </c>
    </row>
    <row r="293" spans="1:12">
      <c r="A293" s="147" t="s">
        <v>406</v>
      </c>
      <c r="B293" s="147">
        <v>10211316</v>
      </c>
      <c r="C293" s="147" t="s">
        <v>138</v>
      </c>
      <c r="D293" s="147" t="s">
        <v>158</v>
      </c>
      <c r="E293" s="147" t="s">
        <v>99</v>
      </c>
      <c r="F293" s="148" t="s">
        <v>412</v>
      </c>
      <c r="G293" s="147" t="s">
        <v>139</v>
      </c>
      <c r="H293" s="149">
        <v>84</v>
      </c>
      <c r="I293" s="150">
        <v>0</v>
      </c>
      <c r="J293" s="150">
        <v>0</v>
      </c>
      <c r="K293" s="150">
        <v>346</v>
      </c>
      <c r="L293" s="149">
        <v>0</v>
      </c>
    </row>
    <row r="294" spans="1:12">
      <c r="A294" s="147" t="s">
        <v>406</v>
      </c>
      <c r="B294" s="147">
        <v>10211316</v>
      </c>
      <c r="C294" s="147" t="s">
        <v>138</v>
      </c>
      <c r="D294" s="147" t="s">
        <v>158</v>
      </c>
      <c r="E294" s="147" t="s">
        <v>99</v>
      </c>
      <c r="F294" s="148" t="s">
        <v>412</v>
      </c>
      <c r="G294" s="147" t="s">
        <v>139</v>
      </c>
      <c r="H294" s="149">
        <v>112.2</v>
      </c>
      <c r="I294" s="150">
        <v>2</v>
      </c>
      <c r="J294" s="150">
        <v>9</v>
      </c>
      <c r="K294" s="150">
        <v>261</v>
      </c>
      <c r="L294" s="149">
        <v>224.4</v>
      </c>
    </row>
    <row r="295" spans="1:12">
      <c r="A295" s="147" t="s">
        <v>406</v>
      </c>
      <c r="B295" s="147">
        <v>10211316</v>
      </c>
      <c r="C295" s="147" t="s">
        <v>138</v>
      </c>
      <c r="D295" s="147" t="s">
        <v>158</v>
      </c>
      <c r="E295" s="147" t="s">
        <v>99</v>
      </c>
      <c r="F295" s="148" t="s">
        <v>413</v>
      </c>
      <c r="G295" s="147" t="s">
        <v>139</v>
      </c>
      <c r="H295" s="149">
        <v>84</v>
      </c>
      <c r="I295" s="150">
        <v>0</v>
      </c>
      <c r="J295" s="150">
        <v>0</v>
      </c>
      <c r="K295" s="150">
        <v>698</v>
      </c>
      <c r="L295" s="149">
        <v>0</v>
      </c>
    </row>
    <row r="296" spans="1:12">
      <c r="A296" s="147" t="s">
        <v>406</v>
      </c>
      <c r="B296" s="147">
        <v>10211316</v>
      </c>
      <c r="C296" s="147" t="s">
        <v>138</v>
      </c>
      <c r="D296" s="147" t="s">
        <v>158</v>
      </c>
      <c r="E296" s="147" t="s">
        <v>99</v>
      </c>
      <c r="F296" s="148" t="s">
        <v>413</v>
      </c>
      <c r="G296" s="147" t="s">
        <v>139</v>
      </c>
      <c r="H296" s="149">
        <v>112.2</v>
      </c>
      <c r="I296" s="150">
        <v>2</v>
      </c>
      <c r="J296" s="150">
        <v>9</v>
      </c>
      <c r="K296" s="150">
        <v>261</v>
      </c>
      <c r="L296" s="149">
        <v>224.4</v>
      </c>
    </row>
    <row r="297" spans="1:12">
      <c r="A297" s="147" t="s">
        <v>406</v>
      </c>
      <c r="B297" s="147">
        <v>10211316</v>
      </c>
      <c r="C297" s="147" t="s">
        <v>138</v>
      </c>
      <c r="D297" s="147" t="s">
        <v>158</v>
      </c>
      <c r="E297" s="147" t="s">
        <v>99</v>
      </c>
      <c r="F297" s="148" t="s">
        <v>414</v>
      </c>
      <c r="G297" s="147" t="s">
        <v>139</v>
      </c>
      <c r="H297" s="149">
        <v>84</v>
      </c>
      <c r="I297" s="150">
        <v>0</v>
      </c>
      <c r="J297" s="150">
        <v>0</v>
      </c>
      <c r="K297" s="150">
        <v>788</v>
      </c>
      <c r="L297" s="149">
        <v>0</v>
      </c>
    </row>
    <row r="298" spans="1:12">
      <c r="A298" s="147" t="s">
        <v>406</v>
      </c>
      <c r="B298" s="147">
        <v>10211316</v>
      </c>
      <c r="C298" s="147" t="s">
        <v>138</v>
      </c>
      <c r="D298" s="147" t="s">
        <v>158</v>
      </c>
      <c r="E298" s="147" t="s">
        <v>99</v>
      </c>
      <c r="F298" s="148" t="s">
        <v>414</v>
      </c>
      <c r="G298" s="147" t="s">
        <v>139</v>
      </c>
      <c r="H298" s="149">
        <v>112.2</v>
      </c>
      <c r="I298" s="150">
        <v>2</v>
      </c>
      <c r="J298" s="150">
        <v>9</v>
      </c>
      <c r="K298" s="150">
        <v>261</v>
      </c>
      <c r="L298" s="149">
        <v>224.4</v>
      </c>
    </row>
    <row r="299" spans="1:12">
      <c r="A299" s="147" t="s">
        <v>406</v>
      </c>
      <c r="B299" s="147">
        <v>10211316</v>
      </c>
      <c r="C299" s="147" t="s">
        <v>138</v>
      </c>
      <c r="D299" s="147" t="s">
        <v>158</v>
      </c>
      <c r="E299" s="147" t="s">
        <v>99</v>
      </c>
      <c r="F299" s="148" t="s">
        <v>415</v>
      </c>
      <c r="G299" s="147" t="s">
        <v>139</v>
      </c>
      <c r="H299" s="149">
        <v>84</v>
      </c>
      <c r="I299" s="150">
        <v>0</v>
      </c>
      <c r="J299" s="150">
        <v>0</v>
      </c>
      <c r="K299" s="150">
        <v>769</v>
      </c>
      <c r="L299" s="149">
        <v>0</v>
      </c>
    </row>
    <row r="300" spans="1:12">
      <c r="A300" s="147" t="s">
        <v>406</v>
      </c>
      <c r="B300" s="147">
        <v>10211316</v>
      </c>
      <c r="C300" s="147" t="s">
        <v>138</v>
      </c>
      <c r="D300" s="147" t="s">
        <v>158</v>
      </c>
      <c r="E300" s="147" t="s">
        <v>99</v>
      </c>
      <c r="F300" s="148" t="s">
        <v>415</v>
      </c>
      <c r="G300" s="147" t="s">
        <v>139</v>
      </c>
      <c r="H300" s="149">
        <v>112.2</v>
      </c>
      <c r="I300" s="150">
        <v>2</v>
      </c>
      <c r="J300" s="150">
        <v>9</v>
      </c>
      <c r="K300" s="150">
        <v>261</v>
      </c>
      <c r="L300" s="149">
        <v>224.4</v>
      </c>
    </row>
    <row r="301" spans="1:12">
      <c r="A301" s="147" t="s">
        <v>406</v>
      </c>
      <c r="B301" s="147">
        <v>10211316</v>
      </c>
      <c r="C301" s="147" t="s">
        <v>138</v>
      </c>
      <c r="D301" s="147" t="s">
        <v>158</v>
      </c>
      <c r="E301" s="147" t="s">
        <v>99</v>
      </c>
      <c r="F301" s="148" t="s">
        <v>416</v>
      </c>
      <c r="G301" s="147" t="s">
        <v>139</v>
      </c>
      <c r="H301" s="149">
        <v>84</v>
      </c>
      <c r="I301" s="150">
        <v>0</v>
      </c>
      <c r="J301" s="150">
        <v>0</v>
      </c>
      <c r="K301" s="150">
        <v>818</v>
      </c>
      <c r="L301" s="149">
        <v>0</v>
      </c>
    </row>
    <row r="302" spans="1:12">
      <c r="A302" s="147" t="s">
        <v>406</v>
      </c>
      <c r="B302" s="147">
        <v>10211316</v>
      </c>
      <c r="C302" s="147" t="s">
        <v>138</v>
      </c>
      <c r="D302" s="147" t="s">
        <v>158</v>
      </c>
      <c r="E302" s="147" t="s">
        <v>99</v>
      </c>
      <c r="F302" s="148" t="s">
        <v>416</v>
      </c>
      <c r="G302" s="147" t="s">
        <v>139</v>
      </c>
      <c r="H302" s="149">
        <v>112.2</v>
      </c>
      <c r="I302" s="150">
        <v>2</v>
      </c>
      <c r="J302" s="150">
        <v>9</v>
      </c>
      <c r="K302" s="150">
        <v>261</v>
      </c>
      <c r="L302" s="149">
        <v>224.4</v>
      </c>
    </row>
    <row r="303" spans="1:12">
      <c r="A303" s="147" t="s">
        <v>406</v>
      </c>
      <c r="B303" s="147">
        <v>10211316</v>
      </c>
      <c r="C303" s="147" t="s">
        <v>138</v>
      </c>
      <c r="D303" s="147" t="s">
        <v>158</v>
      </c>
      <c r="E303" s="147" t="s">
        <v>99</v>
      </c>
      <c r="F303" s="148" t="s">
        <v>417</v>
      </c>
      <c r="G303" s="147" t="s">
        <v>139</v>
      </c>
      <c r="H303" s="149">
        <v>84</v>
      </c>
      <c r="I303" s="150">
        <v>0</v>
      </c>
      <c r="J303" s="150">
        <v>0</v>
      </c>
      <c r="K303" s="150">
        <v>949</v>
      </c>
      <c r="L303" s="149">
        <v>0</v>
      </c>
    </row>
    <row r="304" spans="1:12">
      <c r="A304" s="147" t="s">
        <v>406</v>
      </c>
      <c r="B304" s="147">
        <v>10211316</v>
      </c>
      <c r="C304" s="147" t="s">
        <v>138</v>
      </c>
      <c r="D304" s="147" t="s">
        <v>158</v>
      </c>
      <c r="E304" s="147" t="s">
        <v>99</v>
      </c>
      <c r="F304" s="148" t="s">
        <v>417</v>
      </c>
      <c r="G304" s="147" t="s">
        <v>139</v>
      </c>
      <c r="H304" s="149">
        <v>112.2</v>
      </c>
      <c r="I304" s="150">
        <v>2</v>
      </c>
      <c r="J304" s="150">
        <v>9</v>
      </c>
      <c r="K304" s="150">
        <v>261</v>
      </c>
      <c r="L304" s="149">
        <v>224.4</v>
      </c>
    </row>
    <row r="305" spans="1:12">
      <c r="A305" s="147" t="s">
        <v>406</v>
      </c>
      <c r="B305" s="147">
        <v>10211316</v>
      </c>
      <c r="C305" s="147" t="s">
        <v>138</v>
      </c>
      <c r="D305" s="147" t="s">
        <v>158</v>
      </c>
      <c r="E305" s="147" t="s">
        <v>99</v>
      </c>
      <c r="F305" s="148" t="s">
        <v>418</v>
      </c>
      <c r="G305" s="147" t="s">
        <v>139</v>
      </c>
      <c r="H305" s="149">
        <v>84</v>
      </c>
      <c r="I305" s="150">
        <v>0</v>
      </c>
      <c r="J305" s="150">
        <v>0</v>
      </c>
      <c r="K305" s="150">
        <v>739</v>
      </c>
      <c r="L305" s="149">
        <v>0</v>
      </c>
    </row>
    <row r="306" spans="1:12">
      <c r="A306" s="147" t="s">
        <v>406</v>
      </c>
      <c r="B306" s="147">
        <v>10211316</v>
      </c>
      <c r="C306" s="147" t="s">
        <v>138</v>
      </c>
      <c r="D306" s="147" t="s">
        <v>158</v>
      </c>
      <c r="E306" s="147" t="s">
        <v>99</v>
      </c>
      <c r="F306" s="148" t="s">
        <v>418</v>
      </c>
      <c r="G306" s="147" t="s">
        <v>139</v>
      </c>
      <c r="H306" s="149">
        <v>112.2</v>
      </c>
      <c r="I306" s="150">
        <v>2</v>
      </c>
      <c r="J306" s="150">
        <v>9</v>
      </c>
      <c r="K306" s="150">
        <v>261</v>
      </c>
      <c r="L306" s="149">
        <v>224.4</v>
      </c>
    </row>
    <row r="307" spans="1:12">
      <c r="A307" s="147" t="s">
        <v>406</v>
      </c>
      <c r="B307" s="147">
        <v>10211316</v>
      </c>
      <c r="C307" s="147" t="s">
        <v>138</v>
      </c>
      <c r="D307" s="147" t="s">
        <v>158</v>
      </c>
      <c r="E307" s="147" t="s">
        <v>99</v>
      </c>
      <c r="F307" s="148" t="s">
        <v>419</v>
      </c>
      <c r="G307" s="147" t="s">
        <v>139</v>
      </c>
      <c r="H307" s="149">
        <v>84</v>
      </c>
      <c r="I307" s="150">
        <v>0</v>
      </c>
      <c r="J307" s="150">
        <v>0</v>
      </c>
      <c r="K307" s="150">
        <v>30</v>
      </c>
      <c r="L307" s="149">
        <v>0</v>
      </c>
    </row>
    <row r="308" spans="1:12">
      <c r="A308" s="147" t="s">
        <v>406</v>
      </c>
      <c r="B308" s="147">
        <v>10211316</v>
      </c>
      <c r="C308" s="147" t="s">
        <v>138</v>
      </c>
      <c r="D308" s="147" t="s">
        <v>158</v>
      </c>
      <c r="E308" s="147" t="s">
        <v>99</v>
      </c>
      <c r="F308" s="148" t="s">
        <v>419</v>
      </c>
      <c r="G308" s="147" t="s">
        <v>139</v>
      </c>
      <c r="H308" s="149">
        <v>112.2</v>
      </c>
      <c r="I308" s="150">
        <v>1</v>
      </c>
      <c r="J308" s="150">
        <v>4.5</v>
      </c>
      <c r="K308" s="150">
        <v>130.5</v>
      </c>
      <c r="L308" s="149">
        <v>112.2</v>
      </c>
    </row>
    <row r="309" spans="1:12">
      <c r="A309" s="147" t="s">
        <v>406</v>
      </c>
      <c r="B309" s="147">
        <v>10211316</v>
      </c>
      <c r="C309" s="147" t="s">
        <v>138</v>
      </c>
      <c r="D309" s="147" t="s">
        <v>158</v>
      </c>
      <c r="E309" s="147" t="s">
        <v>99</v>
      </c>
      <c r="F309" s="148" t="s">
        <v>420</v>
      </c>
      <c r="G309" s="147" t="s">
        <v>139</v>
      </c>
      <c r="H309" s="149">
        <v>84</v>
      </c>
      <c r="I309" s="150">
        <v>0</v>
      </c>
      <c r="J309" s="150">
        <v>0</v>
      </c>
      <c r="K309" s="150">
        <v>238</v>
      </c>
      <c r="L309" s="149">
        <v>0</v>
      </c>
    </row>
    <row r="310" spans="1:12">
      <c r="A310" s="147" t="s">
        <v>406</v>
      </c>
      <c r="B310" s="147">
        <v>10211316</v>
      </c>
      <c r="C310" s="147" t="s">
        <v>138</v>
      </c>
      <c r="D310" s="147" t="s">
        <v>158</v>
      </c>
      <c r="E310" s="147" t="s">
        <v>99</v>
      </c>
      <c r="F310" s="148" t="s">
        <v>420</v>
      </c>
      <c r="G310" s="147" t="s">
        <v>139</v>
      </c>
      <c r="H310" s="149">
        <v>112.2</v>
      </c>
      <c r="I310" s="150">
        <v>2</v>
      </c>
      <c r="J310" s="150">
        <v>9</v>
      </c>
      <c r="K310" s="150">
        <v>261</v>
      </c>
      <c r="L310" s="149">
        <v>224.4</v>
      </c>
    </row>
    <row r="311" spans="1:12">
      <c r="A311" s="147" t="s">
        <v>406</v>
      </c>
      <c r="B311" s="147">
        <v>10211316</v>
      </c>
      <c r="C311" s="147" t="s">
        <v>138</v>
      </c>
      <c r="D311" s="147" t="s">
        <v>158</v>
      </c>
      <c r="E311" s="147" t="s">
        <v>99</v>
      </c>
      <c r="F311" s="148" t="s">
        <v>421</v>
      </c>
      <c r="G311" s="147" t="s">
        <v>139</v>
      </c>
      <c r="H311" s="149">
        <v>84</v>
      </c>
      <c r="I311" s="150">
        <v>0</v>
      </c>
      <c r="J311" s="150">
        <v>0</v>
      </c>
      <c r="K311" s="150">
        <v>798</v>
      </c>
      <c r="L311" s="149">
        <v>0</v>
      </c>
    </row>
    <row r="312" spans="1:12">
      <c r="A312" s="147" t="s">
        <v>406</v>
      </c>
      <c r="B312" s="147">
        <v>10211316</v>
      </c>
      <c r="C312" s="147" t="s">
        <v>138</v>
      </c>
      <c r="D312" s="147" t="s">
        <v>158</v>
      </c>
      <c r="E312" s="147" t="s">
        <v>99</v>
      </c>
      <c r="F312" s="148" t="s">
        <v>421</v>
      </c>
      <c r="G312" s="147" t="s">
        <v>139</v>
      </c>
      <c r="H312" s="149">
        <v>112.2</v>
      </c>
      <c r="I312" s="150">
        <v>2</v>
      </c>
      <c r="J312" s="150">
        <v>9</v>
      </c>
      <c r="K312" s="150">
        <v>261</v>
      </c>
      <c r="L312" s="149">
        <v>224.4</v>
      </c>
    </row>
    <row r="313" spans="1:12">
      <c r="A313" s="147" t="s">
        <v>406</v>
      </c>
      <c r="B313" s="147">
        <v>10211316</v>
      </c>
      <c r="C313" s="147" t="s">
        <v>138</v>
      </c>
      <c r="D313" s="147" t="s">
        <v>158</v>
      </c>
      <c r="E313" s="147" t="s">
        <v>99</v>
      </c>
      <c r="F313" s="148" t="s">
        <v>422</v>
      </c>
      <c r="G313" s="147" t="s">
        <v>139</v>
      </c>
      <c r="H313" s="149">
        <v>112.2</v>
      </c>
      <c r="I313" s="150">
        <v>2</v>
      </c>
      <c r="J313" s="150">
        <v>9</v>
      </c>
      <c r="K313" s="150">
        <v>788</v>
      </c>
      <c r="L313" s="149">
        <v>224.4</v>
      </c>
    </row>
    <row r="314" spans="1:12">
      <c r="A314" s="147" t="s">
        <v>406</v>
      </c>
      <c r="B314" s="147">
        <v>10211316</v>
      </c>
      <c r="C314" s="147" t="s">
        <v>138</v>
      </c>
      <c r="D314" s="147" t="s">
        <v>158</v>
      </c>
      <c r="E314" s="147" t="s">
        <v>99</v>
      </c>
      <c r="F314" s="148" t="s">
        <v>423</v>
      </c>
      <c r="G314" s="147" t="s">
        <v>139</v>
      </c>
      <c r="H314" s="149">
        <v>112.2</v>
      </c>
      <c r="I314" s="150">
        <v>2</v>
      </c>
      <c r="J314" s="150">
        <v>9</v>
      </c>
      <c r="K314" s="150">
        <v>938</v>
      </c>
      <c r="L314" s="149">
        <v>224.4</v>
      </c>
    </row>
    <row r="315" spans="1:12">
      <c r="A315" s="147" t="s">
        <v>406</v>
      </c>
      <c r="B315" s="147">
        <v>10211316</v>
      </c>
      <c r="C315" s="147" t="s">
        <v>138</v>
      </c>
      <c r="D315" s="147" t="s">
        <v>158</v>
      </c>
      <c r="E315" s="147" t="s">
        <v>99</v>
      </c>
      <c r="F315" s="148" t="s">
        <v>424</v>
      </c>
      <c r="G315" s="147" t="s">
        <v>139</v>
      </c>
      <c r="H315" s="149">
        <v>112.2</v>
      </c>
      <c r="I315" s="150">
        <v>2</v>
      </c>
      <c r="J315" s="150">
        <v>9</v>
      </c>
      <c r="K315" s="150">
        <v>570</v>
      </c>
      <c r="L315" s="149">
        <v>224.4</v>
      </c>
    </row>
    <row r="316" spans="1:12">
      <c r="A316" s="147" t="s">
        <v>406</v>
      </c>
      <c r="B316" s="147">
        <v>10211316</v>
      </c>
      <c r="C316" s="147" t="s">
        <v>138</v>
      </c>
      <c r="D316" s="147" t="s">
        <v>158</v>
      </c>
      <c r="E316" s="147" t="s">
        <v>99</v>
      </c>
      <c r="F316" s="148" t="s">
        <v>425</v>
      </c>
      <c r="G316" s="147" t="s">
        <v>139</v>
      </c>
      <c r="H316" s="149">
        <v>112.2</v>
      </c>
      <c r="I316" s="150">
        <v>2</v>
      </c>
      <c r="J316" s="150">
        <v>9</v>
      </c>
      <c r="K316" s="150">
        <v>698</v>
      </c>
      <c r="L316" s="149">
        <v>224.4</v>
      </c>
    </row>
    <row r="317" spans="1:12">
      <c r="A317" s="147" t="s">
        <v>406</v>
      </c>
      <c r="B317" s="147">
        <v>10211316</v>
      </c>
      <c r="C317" s="147" t="s">
        <v>138</v>
      </c>
      <c r="D317" s="147" t="s">
        <v>158</v>
      </c>
      <c r="E317" s="147" t="s">
        <v>99</v>
      </c>
      <c r="F317" s="148" t="s">
        <v>426</v>
      </c>
      <c r="G317" s="147" t="s">
        <v>139</v>
      </c>
      <c r="H317" s="149">
        <v>112.2</v>
      </c>
      <c r="I317" s="150">
        <v>2</v>
      </c>
      <c r="J317" s="150">
        <v>9</v>
      </c>
      <c r="K317" s="150">
        <v>998</v>
      </c>
      <c r="L317" s="149">
        <v>224.4</v>
      </c>
    </row>
    <row r="318" spans="1:12">
      <c r="A318" s="147" t="s">
        <v>406</v>
      </c>
      <c r="B318" s="147">
        <v>10211316</v>
      </c>
      <c r="C318" s="147" t="s">
        <v>138</v>
      </c>
      <c r="D318" s="147" t="s">
        <v>158</v>
      </c>
      <c r="E318" s="147" t="s">
        <v>99</v>
      </c>
      <c r="F318" s="148" t="s">
        <v>427</v>
      </c>
      <c r="G318" s="147" t="s">
        <v>139</v>
      </c>
      <c r="H318" s="149">
        <v>112.2</v>
      </c>
      <c r="I318" s="150">
        <v>2</v>
      </c>
      <c r="J318" s="150">
        <v>9</v>
      </c>
      <c r="K318" s="150">
        <v>869</v>
      </c>
      <c r="L318" s="149">
        <v>224.4</v>
      </c>
    </row>
    <row r="319" spans="1:12">
      <c r="A319" s="147" t="s">
        <v>406</v>
      </c>
      <c r="B319" s="147">
        <v>10211316</v>
      </c>
      <c r="C319" s="147" t="s">
        <v>138</v>
      </c>
      <c r="D319" s="147" t="s">
        <v>158</v>
      </c>
      <c r="E319" s="147" t="s">
        <v>99</v>
      </c>
      <c r="F319" s="148" t="s">
        <v>428</v>
      </c>
      <c r="G319" s="147" t="s">
        <v>139</v>
      </c>
      <c r="H319" s="149">
        <v>112.2</v>
      </c>
      <c r="I319" s="150">
        <v>2</v>
      </c>
      <c r="J319" s="150">
        <v>9</v>
      </c>
      <c r="K319" s="150">
        <v>680</v>
      </c>
      <c r="L319" s="149">
        <v>224.4</v>
      </c>
    </row>
    <row r="320" spans="1:12">
      <c r="A320" s="147" t="s">
        <v>406</v>
      </c>
      <c r="B320" s="147">
        <v>10211316</v>
      </c>
      <c r="C320" s="147" t="s">
        <v>138</v>
      </c>
      <c r="D320" s="147" t="s">
        <v>158</v>
      </c>
      <c r="E320" s="147" t="s">
        <v>99</v>
      </c>
      <c r="F320" s="148" t="s">
        <v>429</v>
      </c>
      <c r="G320" s="147" t="s">
        <v>139</v>
      </c>
      <c r="H320" s="149">
        <v>112.2</v>
      </c>
      <c r="I320" s="150">
        <v>2</v>
      </c>
      <c r="J320" s="150">
        <v>9</v>
      </c>
      <c r="K320" s="150">
        <v>800</v>
      </c>
      <c r="L320" s="149">
        <v>224.4</v>
      </c>
    </row>
    <row r="321" spans="1:12">
      <c r="A321" s="147" t="s">
        <v>406</v>
      </c>
      <c r="B321" s="147">
        <v>10211316</v>
      </c>
      <c r="C321" s="147" t="s">
        <v>138</v>
      </c>
      <c r="D321" s="147" t="s">
        <v>158</v>
      </c>
      <c r="E321" s="147" t="s">
        <v>99</v>
      </c>
      <c r="F321" s="148" t="s">
        <v>430</v>
      </c>
      <c r="G321" s="147" t="s">
        <v>139</v>
      </c>
      <c r="H321" s="149">
        <v>112.2</v>
      </c>
      <c r="I321" s="150">
        <v>2</v>
      </c>
      <c r="J321" s="150">
        <v>9</v>
      </c>
      <c r="K321" s="150">
        <v>807</v>
      </c>
      <c r="L321" s="149">
        <v>224.4</v>
      </c>
    </row>
    <row r="322" spans="1:12">
      <c r="A322" s="147" t="s">
        <v>406</v>
      </c>
      <c r="B322" s="147">
        <v>10211316</v>
      </c>
      <c r="C322" s="147" t="s">
        <v>138</v>
      </c>
      <c r="D322" s="147" t="s">
        <v>158</v>
      </c>
      <c r="E322" s="147" t="s">
        <v>99</v>
      </c>
      <c r="F322" s="148" t="s">
        <v>431</v>
      </c>
      <c r="G322" s="147" t="s">
        <v>139</v>
      </c>
      <c r="H322" s="149">
        <v>112.2</v>
      </c>
      <c r="I322" s="150">
        <v>2</v>
      </c>
      <c r="J322" s="150">
        <v>9</v>
      </c>
      <c r="K322" s="150">
        <v>176</v>
      </c>
      <c r="L322" s="149">
        <v>224.4</v>
      </c>
    </row>
    <row r="323" spans="1:12">
      <c r="A323" s="147" t="s">
        <v>406</v>
      </c>
      <c r="B323" s="147">
        <v>10211316</v>
      </c>
      <c r="C323" s="147" t="s">
        <v>138</v>
      </c>
      <c r="D323" s="147" t="s">
        <v>158</v>
      </c>
      <c r="E323" s="147" t="s">
        <v>99</v>
      </c>
      <c r="F323" s="148" t="s">
        <v>432</v>
      </c>
      <c r="G323" s="147" t="s">
        <v>139</v>
      </c>
      <c r="H323" s="149">
        <v>112.2</v>
      </c>
      <c r="I323" s="150">
        <v>2</v>
      </c>
      <c r="J323" s="150">
        <v>9</v>
      </c>
      <c r="K323" s="150">
        <v>815</v>
      </c>
      <c r="L323" s="149">
        <v>224.4</v>
      </c>
    </row>
    <row r="324" spans="1:12">
      <c r="A324" s="147" t="s">
        <v>433</v>
      </c>
      <c r="B324" s="147">
        <v>10211316</v>
      </c>
      <c r="C324" s="147" t="s">
        <v>138</v>
      </c>
      <c r="D324" s="147" t="s">
        <v>158</v>
      </c>
      <c r="E324" s="147" t="s">
        <v>99</v>
      </c>
      <c r="F324" s="148" t="s">
        <v>434</v>
      </c>
      <c r="G324" s="147" t="s">
        <v>139</v>
      </c>
      <c r="H324" s="149">
        <v>112.2</v>
      </c>
      <c r="I324" s="150">
        <v>2</v>
      </c>
      <c r="J324" s="150">
        <v>9</v>
      </c>
      <c r="K324" s="150">
        <v>809</v>
      </c>
      <c r="L324" s="149">
        <v>224.4</v>
      </c>
    </row>
    <row r="325" spans="1:12">
      <c r="A325" s="147" t="s">
        <v>433</v>
      </c>
      <c r="B325" s="147">
        <v>10211316</v>
      </c>
      <c r="C325" s="147" t="s">
        <v>138</v>
      </c>
      <c r="D325" s="147" t="s">
        <v>158</v>
      </c>
      <c r="E325" s="147" t="s">
        <v>99</v>
      </c>
      <c r="F325" s="148" t="s">
        <v>435</v>
      </c>
      <c r="G325" s="147" t="s">
        <v>139</v>
      </c>
      <c r="H325" s="149">
        <v>112.2</v>
      </c>
      <c r="I325" s="150">
        <v>2</v>
      </c>
      <c r="J325" s="150">
        <v>9</v>
      </c>
      <c r="K325" s="150">
        <v>948</v>
      </c>
      <c r="L325" s="149">
        <v>224.4</v>
      </c>
    </row>
    <row r="326" spans="1:12">
      <c r="A326" s="147" t="s">
        <v>433</v>
      </c>
      <c r="B326" s="147">
        <v>10211316</v>
      </c>
      <c r="C326" s="147" t="s">
        <v>138</v>
      </c>
      <c r="D326" s="147" t="s">
        <v>158</v>
      </c>
      <c r="E326" s="147" t="s">
        <v>99</v>
      </c>
      <c r="F326" s="148" t="s">
        <v>436</v>
      </c>
      <c r="G326" s="147" t="s">
        <v>139</v>
      </c>
      <c r="H326" s="149">
        <v>112.2</v>
      </c>
      <c r="I326" s="150">
        <v>2</v>
      </c>
      <c r="J326" s="150">
        <v>9</v>
      </c>
      <c r="K326" s="150">
        <v>788</v>
      </c>
      <c r="L326" s="149">
        <v>224.4</v>
      </c>
    </row>
    <row r="327" spans="1:12">
      <c r="A327" s="147" t="s">
        <v>433</v>
      </c>
      <c r="B327" s="147">
        <v>10211316</v>
      </c>
      <c r="C327" s="147" t="s">
        <v>138</v>
      </c>
      <c r="D327" s="147" t="s">
        <v>158</v>
      </c>
      <c r="E327" s="147" t="s">
        <v>99</v>
      </c>
      <c r="F327" s="148" t="s">
        <v>437</v>
      </c>
      <c r="G327" s="147" t="s">
        <v>139</v>
      </c>
      <c r="H327" s="149">
        <v>112.2</v>
      </c>
      <c r="I327" s="150">
        <v>2</v>
      </c>
      <c r="J327" s="150">
        <v>9</v>
      </c>
      <c r="K327" s="150">
        <v>738</v>
      </c>
      <c r="L327" s="149">
        <v>224.4</v>
      </c>
    </row>
    <row r="328" spans="1:12">
      <c r="A328" s="147" t="s">
        <v>433</v>
      </c>
      <c r="B328" s="147">
        <v>10211316</v>
      </c>
      <c r="C328" s="147" t="s">
        <v>138</v>
      </c>
      <c r="D328" s="147" t="s">
        <v>158</v>
      </c>
      <c r="E328" s="147" t="s">
        <v>99</v>
      </c>
      <c r="F328" s="148" t="s">
        <v>438</v>
      </c>
      <c r="G328" s="147" t="s">
        <v>139</v>
      </c>
      <c r="H328" s="149">
        <v>112.2</v>
      </c>
      <c r="I328" s="150">
        <v>2</v>
      </c>
      <c r="J328" s="150">
        <v>9</v>
      </c>
      <c r="K328" s="150">
        <v>295</v>
      </c>
      <c r="L328" s="149">
        <v>224.4</v>
      </c>
    </row>
    <row r="329" spans="1:12">
      <c r="A329" s="147" t="s">
        <v>433</v>
      </c>
      <c r="B329" s="147">
        <v>10211316</v>
      </c>
      <c r="C329" s="147" t="s">
        <v>138</v>
      </c>
      <c r="D329" s="147" t="s">
        <v>158</v>
      </c>
      <c r="E329" s="147" t="s">
        <v>99</v>
      </c>
      <c r="F329" s="148" t="s">
        <v>439</v>
      </c>
      <c r="G329" s="147" t="s">
        <v>139</v>
      </c>
      <c r="H329" s="149">
        <v>112.2</v>
      </c>
      <c r="I329" s="150">
        <v>2</v>
      </c>
      <c r="J329" s="150">
        <v>9</v>
      </c>
      <c r="K329" s="150">
        <v>883</v>
      </c>
      <c r="L329" s="149">
        <v>224.4</v>
      </c>
    </row>
    <row r="330" spans="1:12">
      <c r="A330" s="147" t="s">
        <v>433</v>
      </c>
      <c r="B330" s="147">
        <v>10211316</v>
      </c>
      <c r="C330" s="147" t="s">
        <v>138</v>
      </c>
      <c r="D330" s="147" t="s">
        <v>158</v>
      </c>
      <c r="E330" s="147" t="s">
        <v>99</v>
      </c>
      <c r="F330" s="148" t="s">
        <v>440</v>
      </c>
      <c r="G330" s="147" t="s">
        <v>139</v>
      </c>
      <c r="H330" s="149">
        <v>112.2</v>
      </c>
      <c r="I330" s="150">
        <v>2</v>
      </c>
      <c r="J330" s="150">
        <v>9</v>
      </c>
      <c r="K330" s="150">
        <v>1085</v>
      </c>
      <c r="L330" s="149">
        <v>224.4</v>
      </c>
    </row>
    <row r="331" spans="1:12">
      <c r="A331" s="147" t="s">
        <v>433</v>
      </c>
      <c r="B331" s="147">
        <v>10211316</v>
      </c>
      <c r="C331" s="147" t="s">
        <v>138</v>
      </c>
      <c r="D331" s="147" t="s">
        <v>158</v>
      </c>
      <c r="E331" s="147" t="s">
        <v>99</v>
      </c>
      <c r="F331" s="148" t="s">
        <v>441</v>
      </c>
      <c r="G331" s="147" t="s">
        <v>139</v>
      </c>
      <c r="H331" s="149">
        <v>112.2</v>
      </c>
      <c r="I331" s="150">
        <v>2</v>
      </c>
      <c r="J331" s="150">
        <v>9</v>
      </c>
      <c r="K331" s="150">
        <v>658</v>
      </c>
      <c r="L331" s="149">
        <v>224.4</v>
      </c>
    </row>
    <row r="332" spans="1:12">
      <c r="A332" s="147" t="s">
        <v>433</v>
      </c>
      <c r="B332" s="147">
        <v>10211316</v>
      </c>
      <c r="C332" s="147" t="s">
        <v>138</v>
      </c>
      <c r="D332" s="147" t="s">
        <v>158</v>
      </c>
      <c r="E332" s="147" t="s">
        <v>99</v>
      </c>
      <c r="F332" s="148" t="s">
        <v>442</v>
      </c>
      <c r="G332" s="147" t="s">
        <v>139</v>
      </c>
      <c r="H332" s="149">
        <v>112.2</v>
      </c>
      <c r="I332" s="150">
        <v>2</v>
      </c>
      <c r="J332" s="150">
        <v>9</v>
      </c>
      <c r="K332" s="150">
        <v>285</v>
      </c>
      <c r="L332" s="149">
        <v>224.4</v>
      </c>
    </row>
    <row r="333" spans="1:12">
      <c r="A333" s="147" t="s">
        <v>433</v>
      </c>
      <c r="B333" s="147">
        <v>10211316</v>
      </c>
      <c r="C333" s="147" t="s">
        <v>138</v>
      </c>
      <c r="D333" s="147" t="s">
        <v>158</v>
      </c>
      <c r="E333" s="147" t="s">
        <v>99</v>
      </c>
      <c r="F333" s="148" t="s">
        <v>443</v>
      </c>
      <c r="G333" s="147" t="s">
        <v>139</v>
      </c>
      <c r="H333" s="149">
        <v>112.2</v>
      </c>
      <c r="I333" s="150">
        <v>2</v>
      </c>
      <c r="J333" s="150">
        <v>9</v>
      </c>
      <c r="K333" s="150">
        <v>618</v>
      </c>
      <c r="L333" s="149">
        <v>224.4</v>
      </c>
    </row>
    <row r="334" spans="1:12">
      <c r="A334" s="147" t="s">
        <v>433</v>
      </c>
      <c r="B334" s="147">
        <v>10211316</v>
      </c>
      <c r="C334" s="147" t="s">
        <v>138</v>
      </c>
      <c r="D334" s="147" t="s">
        <v>158</v>
      </c>
      <c r="E334" s="147" t="s">
        <v>99</v>
      </c>
      <c r="F334" s="148" t="s">
        <v>444</v>
      </c>
      <c r="G334" s="147" t="s">
        <v>139</v>
      </c>
      <c r="H334" s="149">
        <v>112.2</v>
      </c>
      <c r="I334" s="150">
        <v>1</v>
      </c>
      <c r="J334" s="150">
        <v>4.5</v>
      </c>
      <c r="K334" s="150">
        <v>119</v>
      </c>
      <c r="L334" s="149">
        <v>112.2</v>
      </c>
    </row>
    <row r="335" spans="1:12">
      <c r="A335" s="147" t="s">
        <v>433</v>
      </c>
      <c r="B335" s="147">
        <v>10211316</v>
      </c>
      <c r="C335" s="147" t="s">
        <v>138</v>
      </c>
      <c r="D335" s="147" t="s">
        <v>158</v>
      </c>
      <c r="E335" s="147" t="s">
        <v>99</v>
      </c>
      <c r="F335" s="148" t="s">
        <v>444</v>
      </c>
      <c r="G335" s="147" t="s">
        <v>143</v>
      </c>
      <c r="H335" s="149">
        <v>0</v>
      </c>
      <c r="I335" s="150">
        <v>1</v>
      </c>
      <c r="J335" s="150">
        <v>0</v>
      </c>
      <c r="K335" s="150">
        <v>0</v>
      </c>
      <c r="L335" s="149">
        <v>0</v>
      </c>
    </row>
    <row r="336" spans="1:12">
      <c r="A336" s="147" t="s">
        <v>433</v>
      </c>
      <c r="B336" s="147">
        <v>10211316</v>
      </c>
      <c r="C336" s="147" t="s">
        <v>138</v>
      </c>
      <c r="D336" s="147" t="s">
        <v>158</v>
      </c>
      <c r="E336" s="147" t="s">
        <v>99</v>
      </c>
      <c r="F336" s="148" t="s">
        <v>445</v>
      </c>
      <c r="G336" s="147" t="s">
        <v>139</v>
      </c>
      <c r="H336" s="149">
        <v>112.2</v>
      </c>
      <c r="I336" s="150">
        <v>2</v>
      </c>
      <c r="J336" s="150">
        <v>9</v>
      </c>
      <c r="K336" s="150">
        <v>833</v>
      </c>
      <c r="L336" s="149">
        <v>224.4</v>
      </c>
    </row>
    <row r="337" spans="1:12">
      <c r="A337" s="147" t="s">
        <v>433</v>
      </c>
      <c r="B337" s="147">
        <v>10211316</v>
      </c>
      <c r="C337" s="147" t="s">
        <v>138</v>
      </c>
      <c r="D337" s="147" t="s">
        <v>158</v>
      </c>
      <c r="E337" s="147" t="s">
        <v>99</v>
      </c>
      <c r="F337" s="148" t="s">
        <v>446</v>
      </c>
      <c r="G337" s="147" t="s">
        <v>139</v>
      </c>
      <c r="H337" s="149">
        <v>112.2</v>
      </c>
      <c r="I337" s="150">
        <v>2</v>
      </c>
      <c r="J337" s="150">
        <v>9</v>
      </c>
      <c r="K337" s="150">
        <v>918</v>
      </c>
      <c r="L337" s="149">
        <v>224.4</v>
      </c>
    </row>
    <row r="338" spans="1:12">
      <c r="A338" s="147" t="s">
        <v>433</v>
      </c>
      <c r="B338" s="147">
        <v>10211316</v>
      </c>
      <c r="C338" s="147" t="s">
        <v>138</v>
      </c>
      <c r="D338" s="147" t="s">
        <v>158</v>
      </c>
      <c r="E338" s="147" t="s">
        <v>99</v>
      </c>
      <c r="F338" s="148" t="s">
        <v>447</v>
      </c>
      <c r="G338" s="147" t="s">
        <v>139</v>
      </c>
      <c r="H338" s="149">
        <v>112.2</v>
      </c>
      <c r="I338" s="150">
        <v>2</v>
      </c>
      <c r="J338" s="150">
        <v>9</v>
      </c>
      <c r="K338" s="150">
        <v>768</v>
      </c>
      <c r="L338" s="149">
        <v>224.4</v>
      </c>
    </row>
    <row r="339" spans="1:12">
      <c r="A339" s="147" t="s">
        <v>433</v>
      </c>
      <c r="B339" s="147">
        <v>10211316</v>
      </c>
      <c r="C339" s="147" t="s">
        <v>138</v>
      </c>
      <c r="D339" s="147" t="s">
        <v>158</v>
      </c>
      <c r="E339" s="147" t="s">
        <v>99</v>
      </c>
      <c r="F339" s="148" t="s">
        <v>448</v>
      </c>
      <c r="G339" s="147" t="s">
        <v>139</v>
      </c>
      <c r="H339" s="149">
        <v>112.2</v>
      </c>
      <c r="I339" s="150">
        <v>2</v>
      </c>
      <c r="J339" s="150">
        <v>9</v>
      </c>
      <c r="K339" s="150">
        <v>728</v>
      </c>
      <c r="L339" s="149">
        <v>224.4</v>
      </c>
    </row>
    <row r="340" spans="1:12">
      <c r="A340" s="147" t="s">
        <v>433</v>
      </c>
      <c r="B340" s="147">
        <v>10211316</v>
      </c>
      <c r="C340" s="147" t="s">
        <v>138</v>
      </c>
      <c r="D340" s="147" t="s">
        <v>158</v>
      </c>
      <c r="E340" s="147" t="s">
        <v>99</v>
      </c>
      <c r="F340" s="148" t="s">
        <v>449</v>
      </c>
      <c r="G340" s="147" t="s">
        <v>139</v>
      </c>
      <c r="H340" s="149">
        <v>112.2</v>
      </c>
      <c r="I340" s="150">
        <v>2</v>
      </c>
      <c r="J340" s="150">
        <v>9</v>
      </c>
      <c r="K340" s="150">
        <v>988</v>
      </c>
      <c r="L340" s="149">
        <v>224.4</v>
      </c>
    </row>
    <row r="341" spans="1:12">
      <c r="A341" s="147" t="s">
        <v>433</v>
      </c>
      <c r="B341" s="147">
        <v>10211316</v>
      </c>
      <c r="C341" s="147" t="s">
        <v>138</v>
      </c>
      <c r="D341" s="147" t="s">
        <v>158</v>
      </c>
      <c r="E341" s="147" t="s">
        <v>99</v>
      </c>
      <c r="F341" s="148" t="s">
        <v>450</v>
      </c>
      <c r="G341" s="147" t="s">
        <v>139</v>
      </c>
      <c r="H341" s="149">
        <v>112.2</v>
      </c>
      <c r="I341" s="150">
        <v>2</v>
      </c>
      <c r="J341" s="150">
        <v>9</v>
      </c>
      <c r="K341" s="150">
        <v>158</v>
      </c>
      <c r="L341" s="149">
        <v>224.4</v>
      </c>
    </row>
    <row r="342" spans="1:12">
      <c r="A342" s="147" t="s">
        <v>433</v>
      </c>
      <c r="B342" s="147">
        <v>10211316</v>
      </c>
      <c r="C342" s="147" t="s">
        <v>138</v>
      </c>
      <c r="D342" s="147" t="s">
        <v>158</v>
      </c>
      <c r="E342" s="147" t="s">
        <v>99</v>
      </c>
      <c r="F342" s="148" t="s">
        <v>451</v>
      </c>
      <c r="G342" s="147" t="s">
        <v>139</v>
      </c>
      <c r="H342" s="149">
        <v>112.2</v>
      </c>
      <c r="I342" s="150">
        <v>2</v>
      </c>
      <c r="J342" s="150">
        <v>9</v>
      </c>
      <c r="K342" s="150">
        <v>808</v>
      </c>
      <c r="L342" s="149">
        <v>224.4</v>
      </c>
    </row>
    <row r="343" spans="1:12">
      <c r="A343" s="147" t="s">
        <v>433</v>
      </c>
      <c r="B343" s="147">
        <v>10211316</v>
      </c>
      <c r="C343" s="147" t="s">
        <v>138</v>
      </c>
      <c r="D343" s="147" t="s">
        <v>158</v>
      </c>
      <c r="E343" s="147" t="s">
        <v>99</v>
      </c>
      <c r="F343" s="148" t="s">
        <v>452</v>
      </c>
      <c r="G343" s="147" t="s">
        <v>139</v>
      </c>
      <c r="H343" s="149">
        <v>112.2</v>
      </c>
      <c r="I343" s="150">
        <v>2</v>
      </c>
      <c r="J343" s="150">
        <v>9</v>
      </c>
      <c r="K343" s="150">
        <v>691</v>
      </c>
      <c r="L343" s="149">
        <v>224.4</v>
      </c>
    </row>
    <row r="344" spans="1:12">
      <c r="A344" s="147" t="s">
        <v>433</v>
      </c>
      <c r="B344" s="147">
        <v>10211316</v>
      </c>
      <c r="C344" s="147" t="s">
        <v>138</v>
      </c>
      <c r="D344" s="147" t="s">
        <v>158</v>
      </c>
      <c r="E344" s="147" t="s">
        <v>99</v>
      </c>
      <c r="F344" s="148" t="s">
        <v>453</v>
      </c>
      <c r="G344" s="147" t="s">
        <v>139</v>
      </c>
      <c r="H344" s="149">
        <v>112.2</v>
      </c>
      <c r="I344" s="150">
        <v>2</v>
      </c>
      <c r="J344" s="150">
        <v>9</v>
      </c>
      <c r="K344" s="150">
        <v>658</v>
      </c>
      <c r="L344" s="149">
        <v>224.4</v>
      </c>
    </row>
    <row r="345" spans="1:12">
      <c r="A345" s="147" t="s">
        <v>433</v>
      </c>
      <c r="B345" s="147">
        <v>10211316</v>
      </c>
      <c r="C345" s="147" t="s">
        <v>138</v>
      </c>
      <c r="D345" s="147" t="s">
        <v>158</v>
      </c>
      <c r="E345" s="147" t="s">
        <v>99</v>
      </c>
      <c r="F345" s="148" t="s">
        <v>454</v>
      </c>
      <c r="G345" s="147" t="s">
        <v>139</v>
      </c>
      <c r="H345" s="149">
        <v>112.2</v>
      </c>
      <c r="I345" s="150">
        <v>2</v>
      </c>
      <c r="J345" s="150">
        <v>9</v>
      </c>
      <c r="K345" s="150">
        <v>968</v>
      </c>
      <c r="L345" s="149">
        <v>224.4</v>
      </c>
    </row>
    <row r="346" spans="1:12">
      <c r="A346" s="147" t="s">
        <v>433</v>
      </c>
      <c r="B346" s="147">
        <v>10211316</v>
      </c>
      <c r="C346" s="147" t="s">
        <v>138</v>
      </c>
      <c r="D346" s="147" t="s">
        <v>158</v>
      </c>
      <c r="E346" s="147" t="s">
        <v>99</v>
      </c>
      <c r="F346" s="148" t="s">
        <v>455</v>
      </c>
      <c r="G346" s="147" t="s">
        <v>139</v>
      </c>
      <c r="H346" s="149">
        <v>112.2</v>
      </c>
      <c r="I346" s="150">
        <v>2</v>
      </c>
      <c r="J346" s="150">
        <v>9</v>
      </c>
      <c r="K346" s="150">
        <v>947</v>
      </c>
      <c r="L346" s="149">
        <v>224.4</v>
      </c>
    </row>
    <row r="347" spans="1:12">
      <c r="A347" s="147" t="s">
        <v>433</v>
      </c>
      <c r="B347" s="147">
        <v>10211316</v>
      </c>
      <c r="C347" s="147" t="s">
        <v>138</v>
      </c>
      <c r="D347" s="147" t="s">
        <v>158</v>
      </c>
      <c r="E347" s="147" t="s">
        <v>99</v>
      </c>
      <c r="F347" s="148" t="s">
        <v>456</v>
      </c>
      <c r="G347" s="147" t="s">
        <v>139</v>
      </c>
      <c r="H347" s="149">
        <v>112.2</v>
      </c>
      <c r="I347" s="150">
        <v>2</v>
      </c>
      <c r="J347" s="150">
        <v>9</v>
      </c>
      <c r="K347" s="150">
        <v>271</v>
      </c>
      <c r="L347" s="149">
        <v>224.4</v>
      </c>
    </row>
    <row r="348" spans="1:12">
      <c r="A348" s="147" t="s">
        <v>433</v>
      </c>
      <c r="B348" s="147">
        <v>10211316</v>
      </c>
      <c r="C348" s="147" t="s">
        <v>138</v>
      </c>
      <c r="D348" s="147" t="s">
        <v>158</v>
      </c>
      <c r="E348" s="147" t="s">
        <v>99</v>
      </c>
      <c r="F348" s="148" t="s">
        <v>457</v>
      </c>
      <c r="G348" s="147" t="s">
        <v>139</v>
      </c>
      <c r="H348" s="149">
        <v>112.2</v>
      </c>
      <c r="I348" s="150">
        <v>2</v>
      </c>
      <c r="J348" s="150">
        <v>9</v>
      </c>
      <c r="K348" s="150">
        <v>728</v>
      </c>
      <c r="L348" s="149">
        <v>224.4</v>
      </c>
    </row>
    <row r="349" spans="1:12">
      <c r="A349" s="147" t="s">
        <v>433</v>
      </c>
      <c r="B349" s="147">
        <v>10211316</v>
      </c>
      <c r="C349" s="147" t="s">
        <v>138</v>
      </c>
      <c r="D349" s="147" t="s">
        <v>158</v>
      </c>
      <c r="E349" s="147" t="s">
        <v>99</v>
      </c>
      <c r="F349" s="148" t="s">
        <v>458</v>
      </c>
      <c r="G349" s="147" t="s">
        <v>139</v>
      </c>
      <c r="H349" s="149">
        <v>112.2</v>
      </c>
      <c r="I349" s="150">
        <v>2</v>
      </c>
      <c r="J349" s="150">
        <v>9</v>
      </c>
      <c r="K349" s="150">
        <v>189</v>
      </c>
      <c r="L349" s="149">
        <v>224.4</v>
      </c>
    </row>
    <row r="350" spans="1:12">
      <c r="A350" s="147" t="s">
        <v>433</v>
      </c>
      <c r="B350" s="147">
        <v>10211316</v>
      </c>
      <c r="C350" s="147" t="s">
        <v>138</v>
      </c>
      <c r="D350" s="147" t="s">
        <v>158</v>
      </c>
      <c r="E350" s="147" t="s">
        <v>99</v>
      </c>
      <c r="F350" s="148" t="s">
        <v>459</v>
      </c>
      <c r="G350" s="147" t="s">
        <v>139</v>
      </c>
      <c r="H350" s="149">
        <v>112.2</v>
      </c>
      <c r="I350" s="150">
        <v>2</v>
      </c>
      <c r="J350" s="150">
        <v>9</v>
      </c>
      <c r="K350" s="150">
        <v>274</v>
      </c>
      <c r="L350" s="149">
        <v>224.4</v>
      </c>
    </row>
    <row r="351" spans="1:12">
      <c r="A351" s="147" t="s">
        <v>433</v>
      </c>
      <c r="B351" s="147">
        <v>10254159</v>
      </c>
      <c r="C351" s="147" t="s">
        <v>148</v>
      </c>
      <c r="D351" s="147" t="s">
        <v>158</v>
      </c>
      <c r="E351" s="147" t="s">
        <v>99</v>
      </c>
      <c r="F351" s="148" t="s">
        <v>438</v>
      </c>
      <c r="G351" s="147" t="s">
        <v>149</v>
      </c>
      <c r="H351" s="149">
        <v>85.53</v>
      </c>
      <c r="I351" s="150">
        <v>1</v>
      </c>
      <c r="J351" s="150">
        <v>3</v>
      </c>
      <c r="K351" s="150">
        <v>175</v>
      </c>
      <c r="L351" s="149">
        <v>85.53</v>
      </c>
    </row>
    <row r="352" spans="1:12">
      <c r="A352" s="147" t="s">
        <v>289</v>
      </c>
      <c r="B352" s="147">
        <v>10239765</v>
      </c>
      <c r="C352" s="147" t="s">
        <v>138</v>
      </c>
      <c r="D352" s="147" t="s">
        <v>158</v>
      </c>
      <c r="E352" s="147" t="s">
        <v>107</v>
      </c>
      <c r="F352" s="148" t="s">
        <v>305</v>
      </c>
      <c r="G352" s="147" t="s">
        <v>146</v>
      </c>
      <c r="H352" s="149">
        <v>150</v>
      </c>
      <c r="I352" s="150">
        <v>-5</v>
      </c>
      <c r="J352" s="150">
        <v>0</v>
      </c>
      <c r="K352" s="150">
        <v>0</v>
      </c>
      <c r="L352" s="149">
        <v>-750</v>
      </c>
    </row>
    <row r="353" spans="1:12">
      <c r="A353" s="147" t="s">
        <v>289</v>
      </c>
      <c r="B353" s="147">
        <v>10239765</v>
      </c>
      <c r="C353" s="147" t="s">
        <v>138</v>
      </c>
      <c r="D353" s="147" t="s">
        <v>158</v>
      </c>
      <c r="E353" s="147" t="s">
        <v>107</v>
      </c>
      <c r="F353" s="148" t="s">
        <v>305</v>
      </c>
      <c r="G353" s="147" t="s">
        <v>146</v>
      </c>
      <c r="H353" s="149">
        <v>108.4</v>
      </c>
      <c r="I353" s="150">
        <v>-1</v>
      </c>
      <c r="J353" s="150">
        <v>0</v>
      </c>
      <c r="K353" s="150">
        <v>0</v>
      </c>
      <c r="L353" s="149">
        <v>-108.4</v>
      </c>
    </row>
    <row r="354" spans="1:12">
      <c r="A354" s="147" t="s">
        <v>289</v>
      </c>
      <c r="B354" s="147">
        <v>10239765</v>
      </c>
      <c r="C354" s="147" t="s">
        <v>138</v>
      </c>
      <c r="D354" s="147" t="s">
        <v>158</v>
      </c>
      <c r="E354" s="147" t="s">
        <v>107</v>
      </c>
      <c r="F354" s="148" t="s">
        <v>305</v>
      </c>
      <c r="G354" s="147" t="s">
        <v>146</v>
      </c>
      <c r="H354" s="149">
        <v>138.30000000000001</v>
      </c>
      <c r="I354" s="150">
        <v>-1</v>
      </c>
      <c r="J354" s="150">
        <v>0</v>
      </c>
      <c r="K354" s="150">
        <v>0</v>
      </c>
      <c r="L354" s="149">
        <v>-138.30000000000001</v>
      </c>
    </row>
    <row r="355" spans="1:12">
      <c r="A355" s="147" t="s">
        <v>433</v>
      </c>
      <c r="B355" s="147">
        <v>10254159</v>
      </c>
      <c r="C355" s="147" t="s">
        <v>148</v>
      </c>
      <c r="D355" s="147" t="s">
        <v>158</v>
      </c>
      <c r="E355" s="147" t="s">
        <v>99</v>
      </c>
      <c r="F355" s="148" t="s">
        <v>438</v>
      </c>
      <c r="G355" s="147" t="s">
        <v>149</v>
      </c>
      <c r="H355" s="149">
        <v>78</v>
      </c>
      <c r="I355" s="150">
        <v>1</v>
      </c>
      <c r="J355" s="150">
        <v>3</v>
      </c>
      <c r="K355" s="150">
        <v>87</v>
      </c>
      <c r="L355" s="149">
        <v>78</v>
      </c>
    </row>
    <row r="356" spans="1:12">
      <c r="A356" s="147" t="s">
        <v>433</v>
      </c>
      <c r="B356" s="147">
        <v>10254159</v>
      </c>
      <c r="C356" s="147" t="s">
        <v>148</v>
      </c>
      <c r="D356" s="147" t="s">
        <v>158</v>
      </c>
      <c r="E356" s="147" t="s">
        <v>99</v>
      </c>
      <c r="F356" s="148" t="s">
        <v>438</v>
      </c>
      <c r="G356" s="147" t="s">
        <v>149</v>
      </c>
      <c r="H356" s="149">
        <v>85.53</v>
      </c>
      <c r="I356" s="150">
        <v>-1</v>
      </c>
      <c r="J356" s="150">
        <v>-3</v>
      </c>
      <c r="K356" s="150">
        <v>0</v>
      </c>
      <c r="L356" s="149">
        <v>-85.53</v>
      </c>
    </row>
    <row r="357" spans="1:12">
      <c r="A357" s="147" t="s">
        <v>460</v>
      </c>
      <c r="B357" s="147">
        <v>10211316</v>
      </c>
      <c r="C357" s="147" t="s">
        <v>138</v>
      </c>
      <c r="D357" s="147" t="s">
        <v>158</v>
      </c>
      <c r="E357" s="147" t="s">
        <v>99</v>
      </c>
      <c r="F357" s="148" t="s">
        <v>461</v>
      </c>
      <c r="G357" s="147" t="s">
        <v>139</v>
      </c>
      <c r="H357" s="149">
        <v>112.2</v>
      </c>
      <c r="I357" s="150">
        <v>2</v>
      </c>
      <c r="J357" s="150">
        <v>9</v>
      </c>
      <c r="K357" s="150">
        <v>733</v>
      </c>
      <c r="L357" s="149">
        <v>224.4</v>
      </c>
    </row>
    <row r="358" spans="1:12">
      <c r="A358" s="147" t="s">
        <v>460</v>
      </c>
      <c r="B358" s="147">
        <v>10211316</v>
      </c>
      <c r="C358" s="147" t="s">
        <v>138</v>
      </c>
      <c r="D358" s="147" t="s">
        <v>158</v>
      </c>
      <c r="E358" s="147" t="s">
        <v>99</v>
      </c>
      <c r="F358" s="148" t="s">
        <v>462</v>
      </c>
      <c r="G358" s="147" t="s">
        <v>139</v>
      </c>
      <c r="H358" s="149">
        <v>112.2</v>
      </c>
      <c r="I358" s="150">
        <v>2</v>
      </c>
      <c r="J358" s="150">
        <v>9</v>
      </c>
      <c r="K358" s="150">
        <v>368</v>
      </c>
      <c r="L358" s="149">
        <v>224.4</v>
      </c>
    </row>
    <row r="359" spans="1:12">
      <c r="A359" s="147" t="s">
        <v>460</v>
      </c>
      <c r="B359" s="147">
        <v>10211316</v>
      </c>
      <c r="C359" s="147" t="s">
        <v>138</v>
      </c>
      <c r="D359" s="147" t="s">
        <v>158</v>
      </c>
      <c r="E359" s="147" t="s">
        <v>99</v>
      </c>
      <c r="F359" s="148" t="s">
        <v>463</v>
      </c>
      <c r="G359" s="147" t="s">
        <v>139</v>
      </c>
      <c r="H359" s="149">
        <v>112.2</v>
      </c>
      <c r="I359" s="150">
        <v>2</v>
      </c>
      <c r="J359" s="150">
        <v>9</v>
      </c>
      <c r="K359" s="150">
        <v>858</v>
      </c>
      <c r="L359" s="149">
        <v>224.4</v>
      </c>
    </row>
    <row r="360" spans="1:12">
      <c r="A360" s="147" t="s">
        <v>460</v>
      </c>
      <c r="B360" s="147">
        <v>10211316</v>
      </c>
      <c r="C360" s="147" t="s">
        <v>138</v>
      </c>
      <c r="D360" s="147" t="s">
        <v>158</v>
      </c>
      <c r="E360" s="147" t="s">
        <v>99</v>
      </c>
      <c r="F360" s="148" t="s">
        <v>464</v>
      </c>
      <c r="G360" s="147" t="s">
        <v>139</v>
      </c>
      <c r="H360" s="149">
        <v>112.2</v>
      </c>
      <c r="I360" s="150">
        <v>2</v>
      </c>
      <c r="J360" s="150">
        <v>9</v>
      </c>
      <c r="K360" s="150">
        <v>776</v>
      </c>
      <c r="L360" s="149">
        <v>224.4</v>
      </c>
    </row>
    <row r="361" spans="1:12">
      <c r="A361" s="147" t="s">
        <v>460</v>
      </c>
      <c r="B361" s="147">
        <v>10211316</v>
      </c>
      <c r="C361" s="147" t="s">
        <v>138</v>
      </c>
      <c r="D361" s="147" t="s">
        <v>158</v>
      </c>
      <c r="E361" s="147" t="s">
        <v>99</v>
      </c>
      <c r="F361" s="148" t="s">
        <v>465</v>
      </c>
      <c r="G361" s="147" t="s">
        <v>139</v>
      </c>
      <c r="H361" s="149">
        <v>112.2</v>
      </c>
      <c r="I361" s="150">
        <v>2</v>
      </c>
      <c r="J361" s="150">
        <v>9</v>
      </c>
      <c r="K361" s="150">
        <v>358</v>
      </c>
      <c r="L361" s="149">
        <v>224.4</v>
      </c>
    </row>
    <row r="362" spans="1:12">
      <c r="A362" s="147" t="s">
        <v>460</v>
      </c>
      <c r="B362" s="147">
        <v>10211316</v>
      </c>
      <c r="C362" s="147" t="s">
        <v>138</v>
      </c>
      <c r="D362" s="147" t="s">
        <v>158</v>
      </c>
      <c r="E362" s="147" t="s">
        <v>99</v>
      </c>
      <c r="F362" s="148" t="s">
        <v>466</v>
      </c>
      <c r="G362" s="147" t="s">
        <v>139</v>
      </c>
      <c r="H362" s="149">
        <v>112.2</v>
      </c>
      <c r="I362" s="150">
        <v>2</v>
      </c>
      <c r="J362" s="150">
        <v>9</v>
      </c>
      <c r="K362" s="150">
        <v>261</v>
      </c>
      <c r="L362" s="149">
        <v>224.4</v>
      </c>
    </row>
    <row r="363" spans="1:12">
      <c r="A363" s="147" t="s">
        <v>460</v>
      </c>
      <c r="B363" s="147">
        <v>10211316</v>
      </c>
      <c r="C363" s="147" t="s">
        <v>138</v>
      </c>
      <c r="D363" s="147" t="s">
        <v>158</v>
      </c>
      <c r="E363" s="147" t="s">
        <v>99</v>
      </c>
      <c r="F363" s="148" t="s">
        <v>467</v>
      </c>
      <c r="G363" s="147" t="s">
        <v>139</v>
      </c>
      <c r="H363" s="149">
        <v>112.2</v>
      </c>
      <c r="I363" s="150">
        <v>2</v>
      </c>
      <c r="J363" s="150">
        <v>9</v>
      </c>
      <c r="K363" s="150">
        <v>850</v>
      </c>
      <c r="L363" s="149">
        <v>224.4</v>
      </c>
    </row>
    <row r="364" spans="1:12">
      <c r="A364" s="147" t="s">
        <v>460</v>
      </c>
      <c r="B364" s="147">
        <v>10211316</v>
      </c>
      <c r="C364" s="147" t="s">
        <v>138</v>
      </c>
      <c r="D364" s="147" t="s">
        <v>158</v>
      </c>
      <c r="E364" s="147" t="s">
        <v>99</v>
      </c>
      <c r="F364" s="148" t="s">
        <v>468</v>
      </c>
      <c r="G364" s="147" t="s">
        <v>139</v>
      </c>
      <c r="H364" s="149">
        <v>112.2</v>
      </c>
      <c r="I364" s="150">
        <v>2</v>
      </c>
      <c r="J364" s="150">
        <v>9</v>
      </c>
      <c r="K364" s="150">
        <v>169</v>
      </c>
      <c r="L364" s="149">
        <v>224.4</v>
      </c>
    </row>
    <row r="365" spans="1:12">
      <c r="A365" s="147" t="s">
        <v>460</v>
      </c>
      <c r="B365" s="147">
        <v>10211316</v>
      </c>
      <c r="C365" s="147" t="s">
        <v>138</v>
      </c>
      <c r="D365" s="147" t="s">
        <v>158</v>
      </c>
      <c r="E365" s="147" t="s">
        <v>99</v>
      </c>
      <c r="F365" s="148" t="s">
        <v>469</v>
      </c>
      <c r="G365" s="147" t="s">
        <v>139</v>
      </c>
      <c r="H365" s="149">
        <v>112.2</v>
      </c>
      <c r="I365" s="150">
        <v>2</v>
      </c>
      <c r="J365" s="150">
        <v>9</v>
      </c>
      <c r="K365" s="150">
        <v>150</v>
      </c>
      <c r="L365" s="149">
        <v>224.4</v>
      </c>
    </row>
    <row r="366" spans="1:12">
      <c r="A366" s="147" t="s">
        <v>460</v>
      </c>
      <c r="B366" s="147">
        <v>10211316</v>
      </c>
      <c r="C366" s="147" t="s">
        <v>138</v>
      </c>
      <c r="D366" s="147" t="s">
        <v>158</v>
      </c>
      <c r="E366" s="147" t="s">
        <v>99</v>
      </c>
      <c r="F366" s="148" t="s">
        <v>470</v>
      </c>
      <c r="G366" s="147" t="s">
        <v>139</v>
      </c>
      <c r="H366" s="149">
        <v>112.2</v>
      </c>
      <c r="I366" s="150">
        <v>2</v>
      </c>
      <c r="J366" s="150">
        <v>9</v>
      </c>
      <c r="K366" s="150">
        <v>294</v>
      </c>
      <c r="L366" s="149">
        <v>224.4</v>
      </c>
    </row>
    <row r="367" spans="1:12">
      <c r="A367" s="147" t="s">
        <v>460</v>
      </c>
      <c r="B367" s="147">
        <v>10211316</v>
      </c>
      <c r="C367" s="147" t="s">
        <v>138</v>
      </c>
      <c r="D367" s="147" t="s">
        <v>158</v>
      </c>
      <c r="E367" s="147" t="s">
        <v>99</v>
      </c>
      <c r="F367" s="148" t="s">
        <v>471</v>
      </c>
      <c r="G367" s="147" t="s">
        <v>139</v>
      </c>
      <c r="H367" s="149">
        <v>112.2</v>
      </c>
      <c r="I367" s="150">
        <v>2</v>
      </c>
      <c r="J367" s="150">
        <v>9</v>
      </c>
      <c r="K367" s="150">
        <v>280</v>
      </c>
      <c r="L367" s="149">
        <v>224.4</v>
      </c>
    </row>
    <row r="368" spans="1:12">
      <c r="A368" s="147" t="s">
        <v>460</v>
      </c>
      <c r="B368" s="147">
        <v>10211316</v>
      </c>
      <c r="C368" s="147" t="s">
        <v>138</v>
      </c>
      <c r="D368" s="147" t="s">
        <v>158</v>
      </c>
      <c r="E368" s="147" t="s">
        <v>99</v>
      </c>
      <c r="F368" s="148" t="s">
        <v>472</v>
      </c>
      <c r="G368" s="147" t="s">
        <v>139</v>
      </c>
      <c r="H368" s="149">
        <v>112.2</v>
      </c>
      <c r="I368" s="150">
        <v>2</v>
      </c>
      <c r="J368" s="150">
        <v>9</v>
      </c>
      <c r="K368" s="150">
        <v>688</v>
      </c>
      <c r="L368" s="149">
        <v>224.4</v>
      </c>
    </row>
    <row r="369" spans="1:12">
      <c r="A369" s="147" t="s">
        <v>460</v>
      </c>
      <c r="B369" s="147">
        <v>10211316</v>
      </c>
      <c r="C369" s="147" t="s">
        <v>138</v>
      </c>
      <c r="D369" s="147" t="s">
        <v>158</v>
      </c>
      <c r="E369" s="147" t="s">
        <v>99</v>
      </c>
      <c r="F369" s="148" t="s">
        <v>473</v>
      </c>
      <c r="G369" s="147" t="s">
        <v>139</v>
      </c>
      <c r="H369" s="149">
        <v>112.2</v>
      </c>
      <c r="I369" s="150">
        <v>2</v>
      </c>
      <c r="J369" s="150">
        <v>9</v>
      </c>
      <c r="K369" s="150">
        <v>828</v>
      </c>
      <c r="L369" s="149">
        <v>224.4</v>
      </c>
    </row>
    <row r="370" spans="1:12">
      <c r="A370" s="147" t="s">
        <v>460</v>
      </c>
      <c r="B370" s="147">
        <v>10211316</v>
      </c>
      <c r="C370" s="147" t="s">
        <v>138</v>
      </c>
      <c r="D370" s="147" t="s">
        <v>158</v>
      </c>
      <c r="E370" s="147" t="s">
        <v>99</v>
      </c>
      <c r="F370" s="148" t="s">
        <v>474</v>
      </c>
      <c r="G370" s="147" t="s">
        <v>139</v>
      </c>
      <c r="H370" s="149">
        <v>112.2</v>
      </c>
      <c r="I370" s="150">
        <v>2</v>
      </c>
      <c r="J370" s="150">
        <v>9</v>
      </c>
      <c r="K370" s="150">
        <v>838</v>
      </c>
      <c r="L370" s="149">
        <v>224.4</v>
      </c>
    </row>
    <row r="371" spans="1:12">
      <c r="A371" s="147" t="s">
        <v>460</v>
      </c>
      <c r="B371" s="147">
        <v>10211316</v>
      </c>
      <c r="C371" s="147" t="s">
        <v>138</v>
      </c>
      <c r="D371" s="147" t="s">
        <v>158</v>
      </c>
      <c r="E371" s="147" t="s">
        <v>99</v>
      </c>
      <c r="F371" s="148" t="s">
        <v>475</v>
      </c>
      <c r="G371" s="147" t="s">
        <v>139</v>
      </c>
      <c r="H371" s="149">
        <v>112.2</v>
      </c>
      <c r="I371" s="150">
        <v>2</v>
      </c>
      <c r="J371" s="150">
        <v>9</v>
      </c>
      <c r="K371" s="150">
        <v>598</v>
      </c>
      <c r="L371" s="149">
        <v>224.4</v>
      </c>
    </row>
    <row r="372" spans="1:12">
      <c r="A372" s="147" t="s">
        <v>460</v>
      </c>
      <c r="B372" s="147">
        <v>10211316</v>
      </c>
      <c r="C372" s="147" t="s">
        <v>138</v>
      </c>
      <c r="D372" s="147" t="s">
        <v>158</v>
      </c>
      <c r="E372" s="147" t="s">
        <v>99</v>
      </c>
      <c r="F372" s="148" t="s">
        <v>476</v>
      </c>
      <c r="G372" s="147" t="s">
        <v>139</v>
      </c>
      <c r="H372" s="149">
        <v>112.2</v>
      </c>
      <c r="I372" s="150">
        <v>2</v>
      </c>
      <c r="J372" s="150">
        <v>9</v>
      </c>
      <c r="K372" s="150">
        <v>330</v>
      </c>
      <c r="L372" s="149">
        <v>224.4</v>
      </c>
    </row>
    <row r="373" spans="1:12">
      <c r="A373" s="147" t="s">
        <v>460</v>
      </c>
      <c r="B373" s="147">
        <v>10211316</v>
      </c>
      <c r="C373" s="147" t="s">
        <v>138</v>
      </c>
      <c r="D373" s="147" t="s">
        <v>158</v>
      </c>
      <c r="E373" s="147" t="s">
        <v>99</v>
      </c>
      <c r="F373" s="148" t="s">
        <v>477</v>
      </c>
      <c r="G373" s="147" t="s">
        <v>139</v>
      </c>
      <c r="H373" s="149">
        <v>112.2</v>
      </c>
      <c r="I373" s="150">
        <v>2</v>
      </c>
      <c r="J373" s="150">
        <v>9</v>
      </c>
      <c r="K373" s="150">
        <v>928</v>
      </c>
      <c r="L373" s="149">
        <v>224.4</v>
      </c>
    </row>
    <row r="374" spans="1:12">
      <c r="A374" s="147" t="s">
        <v>460</v>
      </c>
      <c r="B374" s="147">
        <v>10211316</v>
      </c>
      <c r="C374" s="147" t="s">
        <v>138</v>
      </c>
      <c r="D374" s="147" t="s">
        <v>158</v>
      </c>
      <c r="E374" s="147" t="s">
        <v>99</v>
      </c>
      <c r="F374" s="148" t="s">
        <v>478</v>
      </c>
      <c r="G374" s="147" t="s">
        <v>139</v>
      </c>
      <c r="H374" s="149">
        <v>112.2</v>
      </c>
      <c r="I374" s="150">
        <v>2</v>
      </c>
      <c r="J374" s="150">
        <v>9</v>
      </c>
      <c r="K374" s="150">
        <v>968</v>
      </c>
      <c r="L374" s="149">
        <v>224.4</v>
      </c>
    </row>
    <row r="375" spans="1:12">
      <c r="A375" s="147" t="s">
        <v>460</v>
      </c>
      <c r="B375" s="147">
        <v>10211316</v>
      </c>
      <c r="C375" s="147" t="s">
        <v>138</v>
      </c>
      <c r="D375" s="147" t="s">
        <v>158</v>
      </c>
      <c r="E375" s="147" t="s">
        <v>99</v>
      </c>
      <c r="F375" s="148" t="s">
        <v>479</v>
      </c>
      <c r="G375" s="147" t="s">
        <v>139</v>
      </c>
      <c r="H375" s="149">
        <v>112.2</v>
      </c>
      <c r="I375" s="150">
        <v>2</v>
      </c>
      <c r="J375" s="150">
        <v>9</v>
      </c>
      <c r="K375" s="150">
        <v>825</v>
      </c>
      <c r="L375" s="149">
        <v>224.4</v>
      </c>
    </row>
    <row r="376" spans="1:12">
      <c r="A376" s="147" t="s">
        <v>460</v>
      </c>
      <c r="B376" s="147">
        <v>10211316</v>
      </c>
      <c r="C376" s="147" t="s">
        <v>138</v>
      </c>
      <c r="D376" s="147" t="s">
        <v>158</v>
      </c>
      <c r="E376" s="147" t="s">
        <v>99</v>
      </c>
      <c r="F376" s="148" t="s">
        <v>480</v>
      </c>
      <c r="G376" s="147" t="s">
        <v>139</v>
      </c>
      <c r="H376" s="149">
        <v>112.2</v>
      </c>
      <c r="I376" s="150">
        <v>2</v>
      </c>
      <c r="J376" s="150">
        <v>9</v>
      </c>
      <c r="K376" s="150">
        <v>1058</v>
      </c>
      <c r="L376" s="149">
        <v>224.4</v>
      </c>
    </row>
    <row r="377" spans="1:12">
      <c r="A377" s="147" t="s">
        <v>460</v>
      </c>
      <c r="B377" s="147">
        <v>10211316</v>
      </c>
      <c r="C377" s="147" t="s">
        <v>138</v>
      </c>
      <c r="D377" s="147" t="s">
        <v>158</v>
      </c>
      <c r="E377" s="147" t="s">
        <v>99</v>
      </c>
      <c r="F377" s="148" t="s">
        <v>481</v>
      </c>
      <c r="G377" s="147" t="s">
        <v>139</v>
      </c>
      <c r="H377" s="149">
        <v>112.2</v>
      </c>
      <c r="I377" s="150">
        <v>2</v>
      </c>
      <c r="J377" s="150">
        <v>9</v>
      </c>
      <c r="K377" s="150">
        <v>638</v>
      </c>
      <c r="L377" s="149">
        <v>224.4</v>
      </c>
    </row>
    <row r="378" spans="1:12">
      <c r="A378" s="147" t="s">
        <v>460</v>
      </c>
      <c r="B378" s="147">
        <v>10211316</v>
      </c>
      <c r="C378" s="147" t="s">
        <v>138</v>
      </c>
      <c r="D378" s="147" t="s">
        <v>158</v>
      </c>
      <c r="E378" s="147" t="s">
        <v>99</v>
      </c>
      <c r="F378" s="148" t="s">
        <v>482</v>
      </c>
      <c r="G378" s="147" t="s">
        <v>139</v>
      </c>
      <c r="H378" s="149">
        <v>112.2</v>
      </c>
      <c r="I378" s="150">
        <v>2</v>
      </c>
      <c r="J378" s="150">
        <v>9</v>
      </c>
      <c r="K378" s="150">
        <v>968</v>
      </c>
      <c r="L378" s="149">
        <v>224.4</v>
      </c>
    </row>
    <row r="379" spans="1:12">
      <c r="A379" s="147" t="s">
        <v>460</v>
      </c>
      <c r="B379" s="147">
        <v>10211316</v>
      </c>
      <c r="C379" s="147" t="s">
        <v>138</v>
      </c>
      <c r="D379" s="147" t="s">
        <v>158</v>
      </c>
      <c r="E379" s="147" t="s">
        <v>99</v>
      </c>
      <c r="F379" s="148" t="s">
        <v>483</v>
      </c>
      <c r="G379" s="147" t="s">
        <v>139</v>
      </c>
      <c r="H379" s="149">
        <v>112.2</v>
      </c>
      <c r="I379" s="150">
        <v>2</v>
      </c>
      <c r="J379" s="150">
        <v>9</v>
      </c>
      <c r="K379" s="150">
        <v>938</v>
      </c>
      <c r="L379" s="149">
        <v>224.4</v>
      </c>
    </row>
    <row r="380" spans="1:12">
      <c r="A380" s="147" t="s">
        <v>460</v>
      </c>
      <c r="B380" s="147">
        <v>10211316</v>
      </c>
      <c r="C380" s="147" t="s">
        <v>138</v>
      </c>
      <c r="D380" s="147" t="s">
        <v>158</v>
      </c>
      <c r="E380" s="147" t="s">
        <v>99</v>
      </c>
      <c r="F380" s="148" t="s">
        <v>484</v>
      </c>
      <c r="G380" s="147" t="s">
        <v>139</v>
      </c>
      <c r="H380" s="149">
        <v>112.2</v>
      </c>
      <c r="I380" s="150">
        <v>2</v>
      </c>
      <c r="J380" s="150">
        <v>9</v>
      </c>
      <c r="K380" s="150">
        <v>1078</v>
      </c>
      <c r="L380" s="149">
        <v>224.4</v>
      </c>
    </row>
    <row r="381" spans="1:12">
      <c r="A381" s="147" t="s">
        <v>460</v>
      </c>
      <c r="B381" s="147">
        <v>10211316</v>
      </c>
      <c r="C381" s="147" t="s">
        <v>138</v>
      </c>
      <c r="D381" s="147" t="s">
        <v>158</v>
      </c>
      <c r="E381" s="147" t="s">
        <v>99</v>
      </c>
      <c r="F381" s="148" t="s">
        <v>485</v>
      </c>
      <c r="G381" s="147" t="s">
        <v>139</v>
      </c>
      <c r="H381" s="149">
        <v>112.2</v>
      </c>
      <c r="I381" s="150">
        <v>2</v>
      </c>
      <c r="J381" s="150">
        <v>9</v>
      </c>
      <c r="K381" s="150">
        <v>718</v>
      </c>
      <c r="L381" s="149">
        <v>224.4</v>
      </c>
    </row>
    <row r="382" spans="1:12">
      <c r="A382" s="147" t="s">
        <v>460</v>
      </c>
      <c r="B382" s="147">
        <v>10211316</v>
      </c>
      <c r="C382" s="147" t="s">
        <v>138</v>
      </c>
      <c r="D382" s="147" t="s">
        <v>158</v>
      </c>
      <c r="E382" s="147" t="s">
        <v>99</v>
      </c>
      <c r="F382" s="148" t="s">
        <v>486</v>
      </c>
      <c r="G382" s="147" t="s">
        <v>139</v>
      </c>
      <c r="H382" s="149">
        <v>112.2</v>
      </c>
      <c r="I382" s="150">
        <v>2</v>
      </c>
      <c r="J382" s="150">
        <v>9</v>
      </c>
      <c r="K382" s="150">
        <v>840</v>
      </c>
      <c r="L382" s="149">
        <v>224.4</v>
      </c>
    </row>
    <row r="383" spans="1:12">
      <c r="A383" s="147" t="s">
        <v>460</v>
      </c>
      <c r="B383" s="147">
        <v>10211316</v>
      </c>
      <c r="C383" s="147" t="s">
        <v>138</v>
      </c>
      <c r="D383" s="147" t="s">
        <v>158</v>
      </c>
      <c r="E383" s="147" t="s">
        <v>107</v>
      </c>
      <c r="F383" s="148" t="s">
        <v>461</v>
      </c>
      <c r="G383" s="147" t="s">
        <v>144</v>
      </c>
      <c r="H383" s="149">
        <v>15</v>
      </c>
      <c r="I383" s="150">
        <v>1</v>
      </c>
      <c r="J383" s="150">
        <v>0</v>
      </c>
      <c r="K383" s="150">
        <v>0</v>
      </c>
      <c r="L383" s="149">
        <v>15</v>
      </c>
    </row>
    <row r="384" spans="1:12">
      <c r="A384" s="147" t="s">
        <v>460</v>
      </c>
      <c r="B384" s="147">
        <v>10211316</v>
      </c>
      <c r="C384" s="147" t="s">
        <v>138</v>
      </c>
      <c r="D384" s="147" t="s">
        <v>158</v>
      </c>
      <c r="E384" s="147" t="s">
        <v>107</v>
      </c>
      <c r="F384" s="148" t="s">
        <v>462</v>
      </c>
      <c r="G384" s="147" t="s">
        <v>144</v>
      </c>
      <c r="H384" s="149">
        <v>15</v>
      </c>
      <c r="I384" s="150">
        <v>1</v>
      </c>
      <c r="J384" s="150">
        <v>0</v>
      </c>
      <c r="K384" s="150">
        <v>0</v>
      </c>
      <c r="L384" s="149">
        <v>15</v>
      </c>
    </row>
    <row r="385" spans="1:12">
      <c r="A385" s="147" t="s">
        <v>460</v>
      </c>
      <c r="B385" s="147">
        <v>10211316</v>
      </c>
      <c r="C385" s="147" t="s">
        <v>138</v>
      </c>
      <c r="D385" s="147" t="s">
        <v>158</v>
      </c>
      <c r="E385" s="147" t="s">
        <v>107</v>
      </c>
      <c r="F385" s="148" t="s">
        <v>463</v>
      </c>
      <c r="G385" s="147" t="s">
        <v>144</v>
      </c>
      <c r="H385" s="149">
        <v>15</v>
      </c>
      <c r="I385" s="150">
        <v>1</v>
      </c>
      <c r="J385" s="150">
        <v>0</v>
      </c>
      <c r="K385" s="150">
        <v>0</v>
      </c>
      <c r="L385" s="149">
        <v>15</v>
      </c>
    </row>
    <row r="386" spans="1:12">
      <c r="A386" s="147" t="s">
        <v>460</v>
      </c>
      <c r="B386" s="147">
        <v>10211316</v>
      </c>
      <c r="C386" s="147" t="s">
        <v>138</v>
      </c>
      <c r="D386" s="147" t="s">
        <v>158</v>
      </c>
      <c r="E386" s="147" t="s">
        <v>107</v>
      </c>
      <c r="F386" s="148" t="s">
        <v>464</v>
      </c>
      <c r="G386" s="147" t="s">
        <v>144</v>
      </c>
      <c r="H386" s="149">
        <v>15</v>
      </c>
      <c r="I386" s="150">
        <v>1</v>
      </c>
      <c r="J386" s="150">
        <v>0</v>
      </c>
      <c r="K386" s="150">
        <v>0</v>
      </c>
      <c r="L386" s="149">
        <v>15</v>
      </c>
    </row>
    <row r="387" spans="1:12">
      <c r="A387" s="147" t="s">
        <v>460</v>
      </c>
      <c r="B387" s="147">
        <v>10254159</v>
      </c>
      <c r="C387" s="147" t="s">
        <v>148</v>
      </c>
      <c r="D387" s="147" t="s">
        <v>158</v>
      </c>
      <c r="E387" s="147" t="s">
        <v>99</v>
      </c>
      <c r="F387" s="148" t="s">
        <v>479</v>
      </c>
      <c r="G387" s="147" t="s">
        <v>149</v>
      </c>
      <c r="H387" s="149">
        <v>85.53</v>
      </c>
      <c r="I387" s="150">
        <v>1</v>
      </c>
      <c r="J387" s="150">
        <v>3</v>
      </c>
      <c r="K387" s="150">
        <v>112</v>
      </c>
      <c r="L387" s="149">
        <v>85.53</v>
      </c>
    </row>
    <row r="388" spans="1:12">
      <c r="A388" s="147" t="s">
        <v>433</v>
      </c>
      <c r="B388" s="147">
        <v>10211316</v>
      </c>
      <c r="C388" s="147" t="s">
        <v>138</v>
      </c>
      <c r="D388" s="147" t="s">
        <v>158</v>
      </c>
      <c r="E388" s="147" t="s">
        <v>99</v>
      </c>
      <c r="F388" s="148" t="s">
        <v>459</v>
      </c>
      <c r="G388" s="147" t="s">
        <v>139</v>
      </c>
      <c r="H388" s="149">
        <v>84</v>
      </c>
      <c r="I388" s="150">
        <v>101</v>
      </c>
      <c r="J388" s="150">
        <v>454.5</v>
      </c>
      <c r="K388" s="150">
        <v>13180.5</v>
      </c>
      <c r="L388" s="149">
        <v>8484</v>
      </c>
    </row>
    <row r="389" spans="1:12">
      <c r="A389" s="147" t="s">
        <v>433</v>
      </c>
      <c r="B389" s="147">
        <v>10211316</v>
      </c>
      <c r="C389" s="147" t="s">
        <v>138</v>
      </c>
      <c r="D389" s="147" t="s">
        <v>158</v>
      </c>
      <c r="E389" s="147" t="s">
        <v>99</v>
      </c>
      <c r="F389" s="148" t="s">
        <v>459</v>
      </c>
      <c r="G389" s="147" t="s">
        <v>139</v>
      </c>
      <c r="H389" s="149">
        <v>112.2</v>
      </c>
      <c r="I389" s="150">
        <v>-101</v>
      </c>
      <c r="J389" s="150">
        <v>-454.5</v>
      </c>
      <c r="K389" s="150">
        <v>0</v>
      </c>
      <c r="L389" s="149">
        <v>-11332.2</v>
      </c>
    </row>
    <row r="390" spans="1:12">
      <c r="A390" s="147" t="s">
        <v>460</v>
      </c>
      <c r="B390" s="147">
        <v>10211316</v>
      </c>
      <c r="C390" s="147" t="s">
        <v>138</v>
      </c>
      <c r="D390" s="147" t="s">
        <v>158</v>
      </c>
      <c r="E390" s="147" t="s">
        <v>107</v>
      </c>
      <c r="F390" s="148" t="s">
        <v>464</v>
      </c>
      <c r="G390" s="147" t="s">
        <v>144</v>
      </c>
      <c r="H390" s="149">
        <v>15</v>
      </c>
      <c r="I390" s="150">
        <v>-4</v>
      </c>
      <c r="J390" s="150">
        <v>0</v>
      </c>
      <c r="K390" s="150">
        <v>0</v>
      </c>
      <c r="L390" s="149">
        <v>-60</v>
      </c>
    </row>
    <row r="391" spans="1:12">
      <c r="A391" s="147" t="s">
        <v>460</v>
      </c>
      <c r="B391" s="147">
        <v>10254159</v>
      </c>
      <c r="C391" s="147" t="s">
        <v>148</v>
      </c>
      <c r="D391" s="147" t="s">
        <v>158</v>
      </c>
      <c r="E391" s="147" t="s">
        <v>99</v>
      </c>
      <c r="F391" s="148" t="s">
        <v>472</v>
      </c>
      <c r="G391" s="147" t="s">
        <v>149</v>
      </c>
      <c r="H391" s="149">
        <v>116.21</v>
      </c>
      <c r="I391" s="150">
        <v>-3</v>
      </c>
      <c r="J391" s="150">
        <v>-9</v>
      </c>
      <c r="K391" s="150">
        <v>0</v>
      </c>
      <c r="L391" s="149">
        <v>-348.63</v>
      </c>
    </row>
    <row r="392" spans="1:12">
      <c r="A392" s="147" t="s">
        <v>460</v>
      </c>
      <c r="B392" s="147">
        <v>10254159</v>
      </c>
      <c r="C392" s="147" t="s">
        <v>148</v>
      </c>
      <c r="D392" s="147" t="s">
        <v>158</v>
      </c>
      <c r="E392" s="147" t="s">
        <v>99</v>
      </c>
      <c r="F392" s="148" t="s">
        <v>472</v>
      </c>
      <c r="G392" s="147" t="s">
        <v>149</v>
      </c>
      <c r="H392" s="149">
        <v>78</v>
      </c>
      <c r="I392" s="150">
        <v>3</v>
      </c>
      <c r="J392" s="150">
        <v>9</v>
      </c>
      <c r="K392" s="150">
        <v>261</v>
      </c>
      <c r="L392" s="149">
        <v>234</v>
      </c>
    </row>
    <row r="393" spans="1:12">
      <c r="A393" s="147" t="s">
        <v>487</v>
      </c>
      <c r="B393" s="147">
        <v>10211316</v>
      </c>
      <c r="C393" s="147" t="s">
        <v>138</v>
      </c>
      <c r="D393" s="147" t="s">
        <v>158</v>
      </c>
      <c r="E393" s="147" t="s">
        <v>99</v>
      </c>
      <c r="F393" s="148" t="s">
        <v>488</v>
      </c>
      <c r="G393" s="147" t="s">
        <v>139</v>
      </c>
      <c r="H393" s="149">
        <v>112.2</v>
      </c>
      <c r="I393" s="150">
        <v>2</v>
      </c>
      <c r="J393" s="150">
        <v>9</v>
      </c>
      <c r="K393" s="150">
        <v>238</v>
      </c>
      <c r="L393" s="149">
        <v>224.4</v>
      </c>
    </row>
    <row r="394" spans="1:12">
      <c r="A394" s="147" t="s">
        <v>487</v>
      </c>
      <c r="B394" s="147">
        <v>10211316</v>
      </c>
      <c r="C394" s="147" t="s">
        <v>138</v>
      </c>
      <c r="D394" s="147" t="s">
        <v>158</v>
      </c>
      <c r="E394" s="147" t="s">
        <v>99</v>
      </c>
      <c r="F394" s="148" t="s">
        <v>489</v>
      </c>
      <c r="G394" s="147" t="s">
        <v>139</v>
      </c>
      <c r="H394" s="149">
        <v>112.2</v>
      </c>
      <c r="I394" s="150">
        <v>2</v>
      </c>
      <c r="J394" s="150">
        <v>9</v>
      </c>
      <c r="K394" s="150">
        <v>835</v>
      </c>
      <c r="L394" s="149">
        <v>224.4</v>
      </c>
    </row>
    <row r="395" spans="1:12">
      <c r="A395" s="147" t="s">
        <v>487</v>
      </c>
      <c r="B395" s="147">
        <v>10211316</v>
      </c>
      <c r="C395" s="147" t="s">
        <v>138</v>
      </c>
      <c r="D395" s="147" t="s">
        <v>158</v>
      </c>
      <c r="E395" s="147" t="s">
        <v>99</v>
      </c>
      <c r="F395" s="148" t="s">
        <v>490</v>
      </c>
      <c r="G395" s="147" t="s">
        <v>139</v>
      </c>
      <c r="H395" s="149">
        <v>112.2</v>
      </c>
      <c r="I395" s="150">
        <v>2</v>
      </c>
      <c r="J395" s="150">
        <v>9</v>
      </c>
      <c r="K395" s="150">
        <v>938</v>
      </c>
      <c r="L395" s="149">
        <v>224.4</v>
      </c>
    </row>
    <row r="396" spans="1:12">
      <c r="A396" s="147" t="s">
        <v>487</v>
      </c>
      <c r="B396" s="147">
        <v>10211316</v>
      </c>
      <c r="C396" s="147" t="s">
        <v>138</v>
      </c>
      <c r="D396" s="147" t="s">
        <v>158</v>
      </c>
      <c r="E396" s="147" t="s">
        <v>99</v>
      </c>
      <c r="F396" s="148" t="s">
        <v>491</v>
      </c>
      <c r="G396" s="147" t="s">
        <v>139</v>
      </c>
      <c r="H396" s="149">
        <v>112.2</v>
      </c>
      <c r="I396" s="150">
        <v>2</v>
      </c>
      <c r="J396" s="150">
        <v>9</v>
      </c>
      <c r="K396" s="150">
        <v>828</v>
      </c>
      <c r="L396" s="149">
        <v>224.4</v>
      </c>
    </row>
    <row r="397" spans="1:12">
      <c r="A397" s="147" t="s">
        <v>487</v>
      </c>
      <c r="B397" s="147">
        <v>10211316</v>
      </c>
      <c r="C397" s="147" t="s">
        <v>138</v>
      </c>
      <c r="D397" s="147" t="s">
        <v>158</v>
      </c>
      <c r="E397" s="147" t="s">
        <v>99</v>
      </c>
      <c r="F397" s="148" t="s">
        <v>492</v>
      </c>
      <c r="G397" s="147" t="s">
        <v>139</v>
      </c>
      <c r="H397" s="149">
        <v>112.2</v>
      </c>
      <c r="I397" s="150">
        <v>2</v>
      </c>
      <c r="J397" s="150">
        <v>9</v>
      </c>
      <c r="K397" s="150">
        <v>838</v>
      </c>
      <c r="L397" s="149">
        <v>224.4</v>
      </c>
    </row>
    <row r="398" spans="1:12">
      <c r="A398" s="147" t="s">
        <v>487</v>
      </c>
      <c r="B398" s="147">
        <v>10211316</v>
      </c>
      <c r="C398" s="147" t="s">
        <v>138</v>
      </c>
      <c r="D398" s="147" t="s">
        <v>158</v>
      </c>
      <c r="E398" s="147" t="s">
        <v>99</v>
      </c>
      <c r="F398" s="148" t="s">
        <v>493</v>
      </c>
      <c r="G398" s="147" t="s">
        <v>139</v>
      </c>
      <c r="H398" s="149">
        <v>112.2</v>
      </c>
      <c r="I398" s="150">
        <v>2</v>
      </c>
      <c r="J398" s="150">
        <v>9</v>
      </c>
      <c r="K398" s="150">
        <v>1048</v>
      </c>
      <c r="L398" s="149">
        <v>224.4</v>
      </c>
    </row>
    <row r="399" spans="1:12">
      <c r="A399" s="147" t="s">
        <v>487</v>
      </c>
      <c r="B399" s="147">
        <v>10211316</v>
      </c>
      <c r="C399" s="147" t="s">
        <v>138</v>
      </c>
      <c r="D399" s="147" t="s">
        <v>158</v>
      </c>
      <c r="E399" s="147" t="s">
        <v>99</v>
      </c>
      <c r="F399" s="148" t="s">
        <v>494</v>
      </c>
      <c r="G399" s="147" t="s">
        <v>139</v>
      </c>
      <c r="H399" s="149">
        <v>112.2</v>
      </c>
      <c r="I399" s="150">
        <v>2</v>
      </c>
      <c r="J399" s="150">
        <v>9</v>
      </c>
      <c r="K399" s="150">
        <v>528</v>
      </c>
      <c r="L399" s="149">
        <v>224.4</v>
      </c>
    </row>
    <row r="400" spans="1:12">
      <c r="A400" s="147" t="s">
        <v>487</v>
      </c>
      <c r="B400" s="147">
        <v>10211316</v>
      </c>
      <c r="C400" s="147" t="s">
        <v>138</v>
      </c>
      <c r="D400" s="147" t="s">
        <v>158</v>
      </c>
      <c r="E400" s="147" t="s">
        <v>99</v>
      </c>
      <c r="F400" s="148" t="s">
        <v>495</v>
      </c>
      <c r="G400" s="147" t="s">
        <v>139</v>
      </c>
      <c r="H400" s="149">
        <v>112.2</v>
      </c>
      <c r="I400" s="150">
        <v>2</v>
      </c>
      <c r="J400" s="150">
        <v>9</v>
      </c>
      <c r="K400" s="150">
        <v>808</v>
      </c>
      <c r="L400" s="149">
        <v>224.4</v>
      </c>
    </row>
    <row r="401" spans="1:12">
      <c r="A401" s="147" t="s">
        <v>487</v>
      </c>
      <c r="B401" s="147">
        <v>10211316</v>
      </c>
      <c r="C401" s="147" t="s">
        <v>138</v>
      </c>
      <c r="D401" s="147" t="s">
        <v>158</v>
      </c>
      <c r="E401" s="147" t="s">
        <v>99</v>
      </c>
      <c r="F401" s="148" t="s">
        <v>496</v>
      </c>
      <c r="G401" s="147" t="s">
        <v>139</v>
      </c>
      <c r="H401" s="149">
        <v>112.2</v>
      </c>
      <c r="I401" s="150">
        <v>2</v>
      </c>
      <c r="J401" s="150">
        <v>9</v>
      </c>
      <c r="K401" s="150">
        <v>595</v>
      </c>
      <c r="L401" s="149">
        <v>224.4</v>
      </c>
    </row>
    <row r="402" spans="1:12">
      <c r="A402" s="147" t="s">
        <v>487</v>
      </c>
      <c r="B402" s="147">
        <v>10211316</v>
      </c>
      <c r="C402" s="147" t="s">
        <v>138</v>
      </c>
      <c r="D402" s="147" t="s">
        <v>158</v>
      </c>
      <c r="E402" s="147" t="s">
        <v>99</v>
      </c>
      <c r="F402" s="148" t="s">
        <v>497</v>
      </c>
      <c r="G402" s="147" t="s">
        <v>139</v>
      </c>
      <c r="H402" s="149">
        <v>112.2</v>
      </c>
      <c r="I402" s="150">
        <v>2</v>
      </c>
      <c r="J402" s="150">
        <v>9</v>
      </c>
      <c r="K402" s="150">
        <v>958</v>
      </c>
      <c r="L402" s="149">
        <v>224.4</v>
      </c>
    </row>
    <row r="403" spans="1:12">
      <c r="A403" s="147" t="s">
        <v>487</v>
      </c>
      <c r="B403" s="147">
        <v>10211316</v>
      </c>
      <c r="C403" s="147" t="s">
        <v>138</v>
      </c>
      <c r="D403" s="147" t="s">
        <v>158</v>
      </c>
      <c r="E403" s="147" t="s">
        <v>99</v>
      </c>
      <c r="F403" s="148" t="s">
        <v>498</v>
      </c>
      <c r="G403" s="147" t="s">
        <v>139</v>
      </c>
      <c r="H403" s="149">
        <v>112.2</v>
      </c>
      <c r="I403" s="150">
        <v>2</v>
      </c>
      <c r="J403" s="150">
        <v>9</v>
      </c>
      <c r="K403" s="150">
        <v>828</v>
      </c>
      <c r="L403" s="149">
        <v>224.4</v>
      </c>
    </row>
    <row r="404" spans="1:12">
      <c r="A404" s="147" t="s">
        <v>487</v>
      </c>
      <c r="B404" s="147">
        <v>10211316</v>
      </c>
      <c r="C404" s="147" t="s">
        <v>138</v>
      </c>
      <c r="D404" s="147" t="s">
        <v>158</v>
      </c>
      <c r="E404" s="147" t="s">
        <v>99</v>
      </c>
      <c r="F404" s="148" t="s">
        <v>499</v>
      </c>
      <c r="G404" s="147" t="s">
        <v>139</v>
      </c>
      <c r="H404" s="149">
        <v>112.2</v>
      </c>
      <c r="I404" s="150">
        <v>2</v>
      </c>
      <c r="J404" s="150">
        <v>9</v>
      </c>
      <c r="K404" s="150">
        <v>838</v>
      </c>
      <c r="L404" s="149">
        <v>224.4</v>
      </c>
    </row>
    <row r="405" spans="1:12">
      <c r="A405" s="147" t="s">
        <v>487</v>
      </c>
      <c r="B405" s="147">
        <v>10211316</v>
      </c>
      <c r="C405" s="147" t="s">
        <v>138</v>
      </c>
      <c r="D405" s="147" t="s">
        <v>158</v>
      </c>
      <c r="E405" s="147" t="s">
        <v>99</v>
      </c>
      <c r="F405" s="148" t="s">
        <v>500</v>
      </c>
      <c r="G405" s="147" t="s">
        <v>139</v>
      </c>
      <c r="H405" s="149">
        <v>112.2</v>
      </c>
      <c r="I405" s="150">
        <v>2</v>
      </c>
      <c r="J405" s="150">
        <v>9</v>
      </c>
      <c r="K405" s="150">
        <v>267</v>
      </c>
      <c r="L405" s="149">
        <v>224.4</v>
      </c>
    </row>
    <row r="406" spans="1:12">
      <c r="A406" s="147" t="s">
        <v>487</v>
      </c>
      <c r="B406" s="147">
        <v>10211316</v>
      </c>
      <c r="C406" s="147" t="s">
        <v>138</v>
      </c>
      <c r="D406" s="147" t="s">
        <v>158</v>
      </c>
      <c r="E406" s="147" t="s">
        <v>99</v>
      </c>
      <c r="F406" s="148" t="s">
        <v>501</v>
      </c>
      <c r="G406" s="147" t="s">
        <v>139</v>
      </c>
      <c r="H406" s="149">
        <v>112.2</v>
      </c>
      <c r="I406" s="150">
        <v>2</v>
      </c>
      <c r="J406" s="150">
        <v>9</v>
      </c>
      <c r="K406" s="150">
        <v>1278</v>
      </c>
      <c r="L406" s="149">
        <v>224.4</v>
      </c>
    </row>
    <row r="407" spans="1:12">
      <c r="A407" s="147" t="s">
        <v>487</v>
      </c>
      <c r="B407" s="147">
        <v>10211316</v>
      </c>
      <c r="C407" s="147" t="s">
        <v>138</v>
      </c>
      <c r="D407" s="147" t="s">
        <v>158</v>
      </c>
      <c r="E407" s="147" t="s">
        <v>99</v>
      </c>
      <c r="F407" s="148" t="s">
        <v>502</v>
      </c>
      <c r="G407" s="147" t="s">
        <v>139</v>
      </c>
      <c r="H407" s="149">
        <v>112.2</v>
      </c>
      <c r="I407" s="150">
        <v>2</v>
      </c>
      <c r="J407" s="150">
        <v>9</v>
      </c>
      <c r="K407" s="150">
        <v>694</v>
      </c>
      <c r="L407" s="149">
        <v>224.4</v>
      </c>
    </row>
    <row r="408" spans="1:12">
      <c r="A408" s="147" t="s">
        <v>487</v>
      </c>
      <c r="B408" s="147">
        <v>10211316</v>
      </c>
      <c r="C408" s="147" t="s">
        <v>138</v>
      </c>
      <c r="D408" s="147" t="s">
        <v>158</v>
      </c>
      <c r="E408" s="147" t="s">
        <v>99</v>
      </c>
      <c r="F408" s="148" t="s">
        <v>503</v>
      </c>
      <c r="G408" s="147" t="s">
        <v>139</v>
      </c>
      <c r="H408" s="149">
        <v>112.2</v>
      </c>
      <c r="I408" s="150">
        <v>2</v>
      </c>
      <c r="J408" s="150">
        <v>9</v>
      </c>
      <c r="K408" s="150">
        <v>688</v>
      </c>
      <c r="L408" s="149">
        <v>224.4</v>
      </c>
    </row>
    <row r="409" spans="1:12">
      <c r="A409" s="147" t="s">
        <v>487</v>
      </c>
      <c r="B409" s="147">
        <v>10211316</v>
      </c>
      <c r="C409" s="147" t="s">
        <v>138</v>
      </c>
      <c r="D409" s="147" t="s">
        <v>158</v>
      </c>
      <c r="E409" s="147" t="s">
        <v>99</v>
      </c>
      <c r="F409" s="148" t="s">
        <v>504</v>
      </c>
      <c r="G409" s="147" t="s">
        <v>139</v>
      </c>
      <c r="H409" s="149">
        <v>112.2</v>
      </c>
      <c r="I409" s="150">
        <v>2</v>
      </c>
      <c r="J409" s="150">
        <v>9</v>
      </c>
      <c r="K409" s="150">
        <v>818</v>
      </c>
      <c r="L409" s="149">
        <v>224.4</v>
      </c>
    </row>
    <row r="410" spans="1:12">
      <c r="A410" s="147" t="s">
        <v>487</v>
      </c>
      <c r="B410" s="147">
        <v>10211316</v>
      </c>
      <c r="C410" s="147" t="s">
        <v>138</v>
      </c>
      <c r="D410" s="147" t="s">
        <v>158</v>
      </c>
      <c r="E410" s="147" t="s">
        <v>99</v>
      </c>
      <c r="F410" s="148" t="s">
        <v>505</v>
      </c>
      <c r="G410" s="147" t="s">
        <v>139</v>
      </c>
      <c r="H410" s="149">
        <v>112.2</v>
      </c>
      <c r="I410" s="150">
        <v>2</v>
      </c>
      <c r="J410" s="150">
        <v>9</v>
      </c>
      <c r="K410" s="150">
        <v>817</v>
      </c>
      <c r="L410" s="149">
        <v>224.4</v>
      </c>
    </row>
    <row r="411" spans="1:12">
      <c r="A411" s="147" t="s">
        <v>487</v>
      </c>
      <c r="B411" s="147">
        <v>10211316</v>
      </c>
      <c r="C411" s="147" t="s">
        <v>138</v>
      </c>
      <c r="D411" s="147" t="s">
        <v>158</v>
      </c>
      <c r="E411" s="147" t="s">
        <v>99</v>
      </c>
      <c r="F411" s="148" t="s">
        <v>506</v>
      </c>
      <c r="G411" s="147" t="s">
        <v>139</v>
      </c>
      <c r="H411" s="149">
        <v>112.2</v>
      </c>
      <c r="I411" s="150">
        <v>2</v>
      </c>
      <c r="J411" s="150">
        <v>9</v>
      </c>
      <c r="K411" s="150">
        <v>110</v>
      </c>
      <c r="L411" s="149">
        <v>224.4</v>
      </c>
    </row>
    <row r="412" spans="1:12">
      <c r="A412" s="147" t="s">
        <v>487</v>
      </c>
      <c r="B412" s="147">
        <v>10211316</v>
      </c>
      <c r="C412" s="147" t="s">
        <v>138</v>
      </c>
      <c r="D412" s="147" t="s">
        <v>158</v>
      </c>
      <c r="E412" s="147" t="s">
        <v>99</v>
      </c>
      <c r="F412" s="148" t="s">
        <v>507</v>
      </c>
      <c r="G412" s="147" t="s">
        <v>139</v>
      </c>
      <c r="H412" s="149">
        <v>112.2</v>
      </c>
      <c r="I412" s="150">
        <v>2</v>
      </c>
      <c r="J412" s="150">
        <v>9</v>
      </c>
      <c r="K412" s="150">
        <v>1078</v>
      </c>
      <c r="L412" s="149">
        <v>224.4</v>
      </c>
    </row>
    <row r="413" spans="1:12">
      <c r="A413" s="147" t="s">
        <v>487</v>
      </c>
      <c r="B413" s="147">
        <v>10211316</v>
      </c>
      <c r="C413" s="147" t="s">
        <v>138</v>
      </c>
      <c r="D413" s="147" t="s">
        <v>158</v>
      </c>
      <c r="E413" s="147" t="s">
        <v>99</v>
      </c>
      <c r="F413" s="148" t="s">
        <v>508</v>
      </c>
      <c r="G413" s="147" t="s">
        <v>139</v>
      </c>
      <c r="H413" s="149">
        <v>112.2</v>
      </c>
      <c r="I413" s="150">
        <v>2</v>
      </c>
      <c r="J413" s="150">
        <v>9</v>
      </c>
      <c r="K413" s="150">
        <v>868</v>
      </c>
      <c r="L413" s="149">
        <v>224.4</v>
      </c>
    </row>
    <row r="414" spans="1:12">
      <c r="A414" s="147" t="s">
        <v>487</v>
      </c>
      <c r="B414" s="147">
        <v>10211316</v>
      </c>
      <c r="C414" s="147" t="s">
        <v>138</v>
      </c>
      <c r="D414" s="147" t="s">
        <v>158</v>
      </c>
      <c r="E414" s="147" t="s">
        <v>99</v>
      </c>
      <c r="F414" s="148" t="s">
        <v>509</v>
      </c>
      <c r="G414" s="147" t="s">
        <v>139</v>
      </c>
      <c r="H414" s="149">
        <v>112.2</v>
      </c>
      <c r="I414" s="150">
        <v>2</v>
      </c>
      <c r="J414" s="150">
        <v>9</v>
      </c>
      <c r="K414" s="150">
        <v>841</v>
      </c>
      <c r="L414" s="149">
        <v>224.4</v>
      </c>
    </row>
    <row r="415" spans="1:12">
      <c r="A415" s="147" t="s">
        <v>487</v>
      </c>
      <c r="B415" s="147">
        <v>10211316</v>
      </c>
      <c r="C415" s="147" t="s">
        <v>138</v>
      </c>
      <c r="D415" s="147" t="s">
        <v>158</v>
      </c>
      <c r="E415" s="147" t="s">
        <v>99</v>
      </c>
      <c r="F415" s="148" t="s">
        <v>510</v>
      </c>
      <c r="G415" s="147" t="s">
        <v>139</v>
      </c>
      <c r="H415" s="149">
        <v>112.2</v>
      </c>
      <c r="I415" s="150">
        <v>2</v>
      </c>
      <c r="J415" s="150">
        <v>9</v>
      </c>
      <c r="K415" s="150">
        <v>567</v>
      </c>
      <c r="L415" s="149">
        <v>224.4</v>
      </c>
    </row>
    <row r="416" spans="1:12">
      <c r="A416" s="147" t="s">
        <v>487</v>
      </c>
      <c r="B416" s="147">
        <v>10211316</v>
      </c>
      <c r="C416" s="147" t="s">
        <v>138</v>
      </c>
      <c r="D416" s="147" t="s">
        <v>158</v>
      </c>
      <c r="E416" s="147" t="s">
        <v>99</v>
      </c>
      <c r="F416" s="148" t="s">
        <v>511</v>
      </c>
      <c r="G416" s="147" t="s">
        <v>139</v>
      </c>
      <c r="H416" s="149">
        <v>112.2</v>
      </c>
      <c r="I416" s="150">
        <v>2</v>
      </c>
      <c r="J416" s="150">
        <v>9</v>
      </c>
      <c r="K416" s="150">
        <v>888</v>
      </c>
      <c r="L416" s="149">
        <v>224.4</v>
      </c>
    </row>
    <row r="417" spans="1:12">
      <c r="A417" s="147" t="s">
        <v>487</v>
      </c>
      <c r="B417" s="147">
        <v>10211316</v>
      </c>
      <c r="C417" s="147" t="s">
        <v>138</v>
      </c>
      <c r="D417" s="147" t="s">
        <v>158</v>
      </c>
      <c r="E417" s="147" t="s">
        <v>99</v>
      </c>
      <c r="F417" s="148" t="s">
        <v>512</v>
      </c>
      <c r="G417" s="147" t="s">
        <v>139</v>
      </c>
      <c r="H417" s="149">
        <v>112.2</v>
      </c>
      <c r="I417" s="150">
        <v>2</v>
      </c>
      <c r="J417" s="150">
        <v>9</v>
      </c>
      <c r="K417" s="150">
        <v>362</v>
      </c>
      <c r="L417" s="149">
        <v>224.4</v>
      </c>
    </row>
    <row r="418" spans="1:12">
      <c r="A418" s="147" t="s">
        <v>487</v>
      </c>
      <c r="B418" s="147">
        <v>10211316</v>
      </c>
      <c r="C418" s="147" t="s">
        <v>138</v>
      </c>
      <c r="D418" s="147" t="s">
        <v>158</v>
      </c>
      <c r="E418" s="147" t="s">
        <v>99</v>
      </c>
      <c r="F418" s="148" t="s">
        <v>513</v>
      </c>
      <c r="G418" s="147" t="s">
        <v>139</v>
      </c>
      <c r="H418" s="149">
        <v>112.2</v>
      </c>
      <c r="I418" s="150">
        <v>2</v>
      </c>
      <c r="J418" s="150">
        <v>9</v>
      </c>
      <c r="K418" s="150">
        <v>778</v>
      </c>
      <c r="L418" s="149">
        <v>224.4</v>
      </c>
    </row>
    <row r="419" spans="1:12">
      <c r="A419" s="147" t="s">
        <v>487</v>
      </c>
      <c r="B419" s="147">
        <v>10211316</v>
      </c>
      <c r="C419" s="147" t="s">
        <v>138</v>
      </c>
      <c r="D419" s="147" t="s">
        <v>158</v>
      </c>
      <c r="E419" s="147" t="s">
        <v>99</v>
      </c>
      <c r="F419" s="148" t="s">
        <v>514</v>
      </c>
      <c r="G419" s="147" t="s">
        <v>139</v>
      </c>
      <c r="H419" s="149">
        <v>112.2</v>
      </c>
      <c r="I419" s="150">
        <v>2</v>
      </c>
      <c r="J419" s="150">
        <v>9</v>
      </c>
      <c r="K419" s="150">
        <v>798</v>
      </c>
      <c r="L419" s="149">
        <v>224.4</v>
      </c>
    </row>
    <row r="420" spans="1:12">
      <c r="A420" s="147" t="s">
        <v>515</v>
      </c>
      <c r="B420" s="147">
        <v>10211316</v>
      </c>
      <c r="C420" s="147" t="s">
        <v>138</v>
      </c>
      <c r="D420" s="147" t="s">
        <v>158</v>
      </c>
      <c r="E420" s="147" t="s">
        <v>99</v>
      </c>
      <c r="F420" s="148" t="s">
        <v>516</v>
      </c>
      <c r="G420" s="147" t="s">
        <v>139</v>
      </c>
      <c r="H420" s="149">
        <v>112.2</v>
      </c>
      <c r="I420" s="150">
        <v>2</v>
      </c>
      <c r="J420" s="150">
        <v>9</v>
      </c>
      <c r="K420" s="150">
        <v>913</v>
      </c>
      <c r="L420" s="149">
        <v>224.4</v>
      </c>
    </row>
    <row r="421" spans="1:12">
      <c r="A421" s="147" t="s">
        <v>515</v>
      </c>
      <c r="B421" s="147">
        <v>10211316</v>
      </c>
      <c r="C421" s="147" t="s">
        <v>138</v>
      </c>
      <c r="D421" s="147" t="s">
        <v>158</v>
      </c>
      <c r="E421" s="147" t="s">
        <v>99</v>
      </c>
      <c r="F421" s="148" t="s">
        <v>517</v>
      </c>
      <c r="G421" s="147" t="s">
        <v>139</v>
      </c>
      <c r="H421" s="149">
        <v>112.2</v>
      </c>
      <c r="I421" s="150">
        <v>2</v>
      </c>
      <c r="J421" s="150">
        <v>9</v>
      </c>
      <c r="K421" s="150">
        <v>678</v>
      </c>
      <c r="L421" s="149">
        <v>224.4</v>
      </c>
    </row>
    <row r="422" spans="1:12">
      <c r="A422" s="147" t="s">
        <v>515</v>
      </c>
      <c r="B422" s="147">
        <v>10211316</v>
      </c>
      <c r="C422" s="147" t="s">
        <v>138</v>
      </c>
      <c r="D422" s="147" t="s">
        <v>158</v>
      </c>
      <c r="E422" s="147" t="s">
        <v>99</v>
      </c>
      <c r="F422" s="148" t="s">
        <v>518</v>
      </c>
      <c r="G422" s="147" t="s">
        <v>139</v>
      </c>
      <c r="H422" s="149">
        <v>112.2</v>
      </c>
      <c r="I422" s="150">
        <v>2</v>
      </c>
      <c r="J422" s="150">
        <v>9</v>
      </c>
      <c r="K422" s="150">
        <v>848</v>
      </c>
      <c r="L422" s="149">
        <v>224.4</v>
      </c>
    </row>
    <row r="423" spans="1:12">
      <c r="A423" s="147" t="s">
        <v>515</v>
      </c>
      <c r="B423" s="147">
        <v>10211316</v>
      </c>
      <c r="C423" s="147" t="s">
        <v>138</v>
      </c>
      <c r="D423" s="147" t="s">
        <v>158</v>
      </c>
      <c r="E423" s="147" t="s">
        <v>99</v>
      </c>
      <c r="F423" s="148" t="s">
        <v>519</v>
      </c>
      <c r="G423" s="147" t="s">
        <v>139</v>
      </c>
      <c r="H423" s="149">
        <v>112.2</v>
      </c>
      <c r="I423" s="150">
        <v>2</v>
      </c>
      <c r="J423" s="150">
        <v>9</v>
      </c>
      <c r="K423" s="150">
        <v>60</v>
      </c>
      <c r="L423" s="149">
        <v>224.4</v>
      </c>
    </row>
    <row r="424" spans="1:12">
      <c r="A424" s="147" t="s">
        <v>515</v>
      </c>
      <c r="B424" s="147">
        <v>10211316</v>
      </c>
      <c r="C424" s="147" t="s">
        <v>138</v>
      </c>
      <c r="D424" s="147" t="s">
        <v>158</v>
      </c>
      <c r="E424" s="147" t="s">
        <v>99</v>
      </c>
      <c r="F424" s="148" t="s">
        <v>520</v>
      </c>
      <c r="G424" s="147" t="s">
        <v>139</v>
      </c>
      <c r="H424" s="149">
        <v>112.2</v>
      </c>
      <c r="I424" s="150">
        <v>2</v>
      </c>
      <c r="J424" s="150">
        <v>9</v>
      </c>
      <c r="K424" s="150">
        <v>1038</v>
      </c>
      <c r="L424" s="149">
        <v>224.4</v>
      </c>
    </row>
    <row r="425" spans="1:12">
      <c r="A425" s="147" t="s">
        <v>515</v>
      </c>
      <c r="B425" s="147">
        <v>10211316</v>
      </c>
      <c r="C425" s="147" t="s">
        <v>138</v>
      </c>
      <c r="D425" s="147" t="s">
        <v>158</v>
      </c>
      <c r="E425" s="147" t="s">
        <v>99</v>
      </c>
      <c r="F425" s="148" t="s">
        <v>521</v>
      </c>
      <c r="G425" s="147" t="s">
        <v>139</v>
      </c>
      <c r="H425" s="149">
        <v>112.2</v>
      </c>
      <c r="I425" s="150">
        <v>2</v>
      </c>
      <c r="J425" s="150">
        <v>9</v>
      </c>
      <c r="K425" s="150">
        <v>838</v>
      </c>
      <c r="L425" s="149">
        <v>224.4</v>
      </c>
    </row>
    <row r="426" spans="1:12">
      <c r="A426" s="147" t="s">
        <v>515</v>
      </c>
      <c r="B426" s="147">
        <v>10211316</v>
      </c>
      <c r="C426" s="147" t="s">
        <v>138</v>
      </c>
      <c r="D426" s="147" t="s">
        <v>158</v>
      </c>
      <c r="E426" s="147" t="s">
        <v>99</v>
      </c>
      <c r="F426" s="148" t="s">
        <v>522</v>
      </c>
      <c r="G426" s="147" t="s">
        <v>139</v>
      </c>
      <c r="H426" s="149">
        <v>112.2</v>
      </c>
      <c r="I426" s="150">
        <v>2</v>
      </c>
      <c r="J426" s="150">
        <v>9</v>
      </c>
      <c r="K426" s="150">
        <v>808</v>
      </c>
      <c r="L426" s="149">
        <v>224.4</v>
      </c>
    </row>
    <row r="427" spans="1:12">
      <c r="A427" s="147" t="s">
        <v>515</v>
      </c>
      <c r="B427" s="147">
        <v>10211316</v>
      </c>
      <c r="C427" s="147" t="s">
        <v>138</v>
      </c>
      <c r="D427" s="147" t="s">
        <v>158</v>
      </c>
      <c r="E427" s="147" t="s">
        <v>99</v>
      </c>
      <c r="F427" s="148" t="s">
        <v>523</v>
      </c>
      <c r="G427" s="147" t="s">
        <v>139</v>
      </c>
      <c r="H427" s="149">
        <v>112.2</v>
      </c>
      <c r="I427" s="150">
        <v>2</v>
      </c>
      <c r="J427" s="150">
        <v>9</v>
      </c>
      <c r="K427" s="150">
        <v>455</v>
      </c>
      <c r="L427" s="149">
        <v>224.4</v>
      </c>
    </row>
    <row r="428" spans="1:12">
      <c r="A428" s="147" t="s">
        <v>515</v>
      </c>
      <c r="B428" s="147">
        <v>10211316</v>
      </c>
      <c r="C428" s="147" t="s">
        <v>138</v>
      </c>
      <c r="D428" s="147" t="s">
        <v>158</v>
      </c>
      <c r="E428" s="147" t="s">
        <v>99</v>
      </c>
      <c r="F428" s="148" t="s">
        <v>524</v>
      </c>
      <c r="G428" s="147" t="s">
        <v>139</v>
      </c>
      <c r="H428" s="149">
        <v>112.2</v>
      </c>
      <c r="I428" s="150">
        <v>2</v>
      </c>
      <c r="J428" s="150">
        <v>9</v>
      </c>
      <c r="K428" s="150">
        <v>261</v>
      </c>
      <c r="L428" s="149">
        <v>224.4</v>
      </c>
    </row>
    <row r="429" spans="1:12">
      <c r="A429" s="147" t="s">
        <v>515</v>
      </c>
      <c r="B429" s="147">
        <v>10211316</v>
      </c>
      <c r="C429" s="147" t="s">
        <v>138</v>
      </c>
      <c r="D429" s="147" t="s">
        <v>158</v>
      </c>
      <c r="E429" s="147" t="s">
        <v>99</v>
      </c>
      <c r="F429" s="148" t="s">
        <v>525</v>
      </c>
      <c r="G429" s="147" t="s">
        <v>139</v>
      </c>
      <c r="H429" s="149">
        <v>112.2</v>
      </c>
      <c r="I429" s="150">
        <v>2</v>
      </c>
      <c r="J429" s="150">
        <v>9</v>
      </c>
      <c r="K429" s="150">
        <v>284</v>
      </c>
      <c r="L429" s="149">
        <v>224.4</v>
      </c>
    </row>
    <row r="430" spans="1:12">
      <c r="A430" s="147" t="s">
        <v>515</v>
      </c>
      <c r="B430" s="147">
        <v>10211316</v>
      </c>
      <c r="C430" s="147" t="s">
        <v>138</v>
      </c>
      <c r="D430" s="147" t="s">
        <v>158</v>
      </c>
      <c r="E430" s="147" t="s">
        <v>99</v>
      </c>
      <c r="F430" s="148" t="s">
        <v>526</v>
      </c>
      <c r="G430" s="147" t="s">
        <v>139</v>
      </c>
      <c r="H430" s="149">
        <v>112.2</v>
      </c>
      <c r="I430" s="150">
        <v>2</v>
      </c>
      <c r="J430" s="150">
        <v>9</v>
      </c>
      <c r="K430" s="150">
        <v>1098</v>
      </c>
      <c r="L430" s="149">
        <v>224.4</v>
      </c>
    </row>
    <row r="431" spans="1:12">
      <c r="A431" s="147" t="s">
        <v>515</v>
      </c>
      <c r="B431" s="147">
        <v>10211316</v>
      </c>
      <c r="C431" s="147" t="s">
        <v>138</v>
      </c>
      <c r="D431" s="147" t="s">
        <v>158</v>
      </c>
      <c r="E431" s="147" t="s">
        <v>99</v>
      </c>
      <c r="F431" s="148" t="s">
        <v>527</v>
      </c>
      <c r="G431" s="147" t="s">
        <v>139</v>
      </c>
      <c r="H431" s="149">
        <v>112.2</v>
      </c>
      <c r="I431" s="150">
        <v>2</v>
      </c>
      <c r="J431" s="150">
        <v>9</v>
      </c>
      <c r="K431" s="150">
        <v>362</v>
      </c>
      <c r="L431" s="149">
        <v>224.4</v>
      </c>
    </row>
    <row r="432" spans="1:12">
      <c r="A432" s="147" t="s">
        <v>515</v>
      </c>
      <c r="B432" s="147">
        <v>10211316</v>
      </c>
      <c r="C432" s="147" t="s">
        <v>138</v>
      </c>
      <c r="D432" s="147" t="s">
        <v>158</v>
      </c>
      <c r="E432" s="147" t="s">
        <v>99</v>
      </c>
      <c r="F432" s="148" t="s">
        <v>528</v>
      </c>
      <c r="G432" s="147" t="s">
        <v>139</v>
      </c>
      <c r="H432" s="149">
        <v>112.2</v>
      </c>
      <c r="I432" s="150">
        <v>2</v>
      </c>
      <c r="J432" s="150">
        <v>9</v>
      </c>
      <c r="K432" s="150">
        <v>688</v>
      </c>
      <c r="L432" s="149">
        <v>224.4</v>
      </c>
    </row>
    <row r="433" spans="1:12">
      <c r="A433" s="147" t="s">
        <v>515</v>
      </c>
      <c r="B433" s="147">
        <v>10211316</v>
      </c>
      <c r="C433" s="147" t="s">
        <v>138</v>
      </c>
      <c r="D433" s="147" t="s">
        <v>158</v>
      </c>
      <c r="E433" s="147" t="s">
        <v>99</v>
      </c>
      <c r="F433" s="148" t="s">
        <v>529</v>
      </c>
      <c r="G433" s="147" t="s">
        <v>139</v>
      </c>
      <c r="H433" s="149">
        <v>112.2</v>
      </c>
      <c r="I433" s="150">
        <v>2</v>
      </c>
      <c r="J433" s="150">
        <v>9</v>
      </c>
      <c r="K433" s="150">
        <v>376</v>
      </c>
      <c r="L433" s="149">
        <v>224.4</v>
      </c>
    </row>
    <row r="434" spans="1:12">
      <c r="A434" s="147" t="s">
        <v>515</v>
      </c>
      <c r="B434" s="147">
        <v>10211316</v>
      </c>
      <c r="C434" s="147" t="s">
        <v>138</v>
      </c>
      <c r="D434" s="147" t="s">
        <v>158</v>
      </c>
      <c r="E434" s="147" t="s">
        <v>99</v>
      </c>
      <c r="F434" s="148" t="s">
        <v>530</v>
      </c>
      <c r="G434" s="147" t="s">
        <v>139</v>
      </c>
      <c r="H434" s="149">
        <v>112.2</v>
      </c>
      <c r="I434" s="150">
        <v>2</v>
      </c>
      <c r="J434" s="150">
        <v>9</v>
      </c>
      <c r="K434" s="150">
        <v>738</v>
      </c>
      <c r="L434" s="149">
        <v>224.4</v>
      </c>
    </row>
    <row r="435" spans="1:12">
      <c r="A435" s="147" t="s">
        <v>515</v>
      </c>
      <c r="B435" s="147">
        <v>10211316</v>
      </c>
      <c r="C435" s="147" t="s">
        <v>138</v>
      </c>
      <c r="D435" s="147" t="s">
        <v>158</v>
      </c>
      <c r="E435" s="147" t="s">
        <v>99</v>
      </c>
      <c r="F435" s="148" t="s">
        <v>531</v>
      </c>
      <c r="G435" s="147" t="s">
        <v>139</v>
      </c>
      <c r="H435" s="149">
        <v>112.2</v>
      </c>
      <c r="I435" s="150">
        <v>2</v>
      </c>
      <c r="J435" s="150">
        <v>9</v>
      </c>
      <c r="K435" s="150">
        <v>449</v>
      </c>
      <c r="L435" s="149">
        <v>224.4</v>
      </c>
    </row>
    <row r="436" spans="1:12">
      <c r="A436" s="147" t="s">
        <v>515</v>
      </c>
      <c r="B436" s="147">
        <v>10211316</v>
      </c>
      <c r="C436" s="147" t="s">
        <v>138</v>
      </c>
      <c r="D436" s="147" t="s">
        <v>158</v>
      </c>
      <c r="E436" s="147" t="s">
        <v>99</v>
      </c>
      <c r="F436" s="148" t="s">
        <v>532</v>
      </c>
      <c r="G436" s="147" t="s">
        <v>139</v>
      </c>
      <c r="H436" s="149">
        <v>112.2</v>
      </c>
      <c r="I436" s="150">
        <v>2</v>
      </c>
      <c r="J436" s="150">
        <v>9</v>
      </c>
      <c r="K436" s="150">
        <v>330</v>
      </c>
      <c r="L436" s="149">
        <v>224.4</v>
      </c>
    </row>
    <row r="437" spans="1:12">
      <c r="A437" s="147" t="s">
        <v>515</v>
      </c>
      <c r="B437" s="147">
        <v>10211316</v>
      </c>
      <c r="C437" s="147" t="s">
        <v>138</v>
      </c>
      <c r="D437" s="147" t="s">
        <v>158</v>
      </c>
      <c r="E437" s="147" t="s">
        <v>99</v>
      </c>
      <c r="F437" s="148" t="s">
        <v>533</v>
      </c>
      <c r="G437" s="147" t="s">
        <v>139</v>
      </c>
      <c r="H437" s="149">
        <v>112.2</v>
      </c>
      <c r="I437" s="150">
        <v>2</v>
      </c>
      <c r="J437" s="150">
        <v>9</v>
      </c>
      <c r="K437" s="150">
        <v>366</v>
      </c>
      <c r="L437" s="149">
        <v>224.4</v>
      </c>
    </row>
    <row r="438" spans="1:12">
      <c r="A438" s="147" t="s">
        <v>515</v>
      </c>
      <c r="B438" s="147">
        <v>10211316</v>
      </c>
      <c r="C438" s="147" t="s">
        <v>138</v>
      </c>
      <c r="D438" s="147" t="s">
        <v>158</v>
      </c>
      <c r="E438" s="147" t="s">
        <v>99</v>
      </c>
      <c r="F438" s="148" t="s">
        <v>534</v>
      </c>
      <c r="G438" s="147" t="s">
        <v>139</v>
      </c>
      <c r="H438" s="149">
        <v>112.2</v>
      </c>
      <c r="I438" s="150">
        <v>2</v>
      </c>
      <c r="J438" s="150">
        <v>9</v>
      </c>
      <c r="K438" s="150">
        <v>289</v>
      </c>
      <c r="L438" s="149">
        <v>224.4</v>
      </c>
    </row>
    <row r="439" spans="1:12">
      <c r="A439" s="147" t="s">
        <v>515</v>
      </c>
      <c r="B439" s="147">
        <v>10211316</v>
      </c>
      <c r="C439" s="147" t="s">
        <v>138</v>
      </c>
      <c r="D439" s="147" t="s">
        <v>158</v>
      </c>
      <c r="E439" s="147" t="s">
        <v>99</v>
      </c>
      <c r="F439" s="148" t="s">
        <v>535</v>
      </c>
      <c r="G439" s="147" t="s">
        <v>139</v>
      </c>
      <c r="H439" s="149">
        <v>112.2</v>
      </c>
      <c r="I439" s="150">
        <v>2</v>
      </c>
      <c r="J439" s="150">
        <v>9</v>
      </c>
      <c r="K439" s="150">
        <v>262</v>
      </c>
      <c r="L439" s="149">
        <v>224.4</v>
      </c>
    </row>
    <row r="440" spans="1:12">
      <c r="A440" s="147" t="s">
        <v>515</v>
      </c>
      <c r="B440" s="147">
        <v>10211316</v>
      </c>
      <c r="C440" s="147" t="s">
        <v>138</v>
      </c>
      <c r="D440" s="147" t="s">
        <v>158</v>
      </c>
      <c r="E440" s="147" t="s">
        <v>99</v>
      </c>
      <c r="F440" s="148" t="s">
        <v>536</v>
      </c>
      <c r="G440" s="147" t="s">
        <v>139</v>
      </c>
      <c r="H440" s="149">
        <v>112.2</v>
      </c>
      <c r="I440" s="150">
        <v>2</v>
      </c>
      <c r="J440" s="150">
        <v>9</v>
      </c>
      <c r="K440" s="150">
        <v>328</v>
      </c>
      <c r="L440" s="149">
        <v>224.4</v>
      </c>
    </row>
    <row r="441" spans="1:12">
      <c r="A441" s="147" t="s">
        <v>515</v>
      </c>
      <c r="B441" s="147">
        <v>10211316</v>
      </c>
      <c r="C441" s="147" t="s">
        <v>138</v>
      </c>
      <c r="D441" s="147" t="s">
        <v>158</v>
      </c>
      <c r="E441" s="147" t="s">
        <v>99</v>
      </c>
      <c r="F441" s="148" t="s">
        <v>537</v>
      </c>
      <c r="G441" s="147" t="s">
        <v>139</v>
      </c>
      <c r="H441" s="149">
        <v>112.2</v>
      </c>
      <c r="I441" s="150">
        <v>2</v>
      </c>
      <c r="J441" s="150">
        <v>9</v>
      </c>
      <c r="K441" s="150">
        <v>386</v>
      </c>
      <c r="L441" s="149">
        <v>224.4</v>
      </c>
    </row>
    <row r="442" spans="1:12">
      <c r="A442" s="147" t="s">
        <v>515</v>
      </c>
      <c r="B442" s="147">
        <v>10211316</v>
      </c>
      <c r="C442" s="147" t="s">
        <v>138</v>
      </c>
      <c r="D442" s="147" t="s">
        <v>158</v>
      </c>
      <c r="E442" s="147" t="s">
        <v>99</v>
      </c>
      <c r="F442" s="148" t="s">
        <v>538</v>
      </c>
      <c r="G442" s="147" t="s">
        <v>139</v>
      </c>
      <c r="H442" s="149">
        <v>112.2</v>
      </c>
      <c r="I442" s="150">
        <v>2</v>
      </c>
      <c r="J442" s="150">
        <v>9</v>
      </c>
      <c r="K442" s="150">
        <v>100</v>
      </c>
      <c r="L442" s="149">
        <v>224.4</v>
      </c>
    </row>
    <row r="443" spans="1:12">
      <c r="A443" s="147" t="s">
        <v>515</v>
      </c>
      <c r="B443" s="147">
        <v>10211316</v>
      </c>
      <c r="C443" s="147" t="s">
        <v>138</v>
      </c>
      <c r="D443" s="147" t="s">
        <v>158</v>
      </c>
      <c r="E443" s="147" t="s">
        <v>99</v>
      </c>
      <c r="F443" s="148" t="s">
        <v>539</v>
      </c>
      <c r="G443" s="147" t="s">
        <v>139</v>
      </c>
      <c r="H443" s="149">
        <v>112.2</v>
      </c>
      <c r="I443" s="150">
        <v>2</v>
      </c>
      <c r="J443" s="150">
        <v>9</v>
      </c>
      <c r="K443" s="150">
        <v>228</v>
      </c>
      <c r="L443" s="149">
        <v>224.4</v>
      </c>
    </row>
    <row r="444" spans="1:12">
      <c r="A444" s="147" t="s">
        <v>515</v>
      </c>
      <c r="B444" s="147">
        <v>10254159</v>
      </c>
      <c r="C444" s="147" t="s">
        <v>148</v>
      </c>
      <c r="D444" s="147" t="s">
        <v>158</v>
      </c>
      <c r="E444" s="147" t="s">
        <v>99</v>
      </c>
      <c r="F444" s="148" t="s">
        <v>528</v>
      </c>
      <c r="G444" s="147" t="s">
        <v>149</v>
      </c>
      <c r="H444" s="149">
        <v>85.53</v>
      </c>
      <c r="I444" s="150">
        <v>1</v>
      </c>
      <c r="J444" s="150">
        <v>3</v>
      </c>
      <c r="K444" s="150">
        <v>299</v>
      </c>
      <c r="L444" s="149">
        <v>85.53</v>
      </c>
    </row>
    <row r="445" spans="1:12">
      <c r="A445" s="147" t="s">
        <v>540</v>
      </c>
      <c r="B445" s="147">
        <v>10211316</v>
      </c>
      <c r="C445" s="147" t="s">
        <v>138</v>
      </c>
      <c r="D445" s="147" t="s">
        <v>158</v>
      </c>
      <c r="E445" s="147" t="s">
        <v>99</v>
      </c>
      <c r="F445" s="148" t="s">
        <v>541</v>
      </c>
      <c r="G445" s="147" t="s">
        <v>139</v>
      </c>
      <c r="H445" s="149">
        <v>125.02</v>
      </c>
      <c r="I445" s="150">
        <v>2</v>
      </c>
      <c r="J445" s="150">
        <v>9</v>
      </c>
      <c r="K445" s="150">
        <v>220</v>
      </c>
      <c r="L445" s="149">
        <v>250.04</v>
      </c>
    </row>
    <row r="446" spans="1:12">
      <c r="A446" s="147" t="s">
        <v>540</v>
      </c>
      <c r="B446" s="147">
        <v>10211316</v>
      </c>
      <c r="C446" s="147" t="s">
        <v>138</v>
      </c>
      <c r="D446" s="147" t="s">
        <v>158</v>
      </c>
      <c r="E446" s="147" t="s">
        <v>99</v>
      </c>
      <c r="F446" s="148" t="s">
        <v>542</v>
      </c>
      <c r="G446" s="147" t="s">
        <v>139</v>
      </c>
      <c r="H446" s="149">
        <v>125.02</v>
      </c>
      <c r="I446" s="150">
        <v>2</v>
      </c>
      <c r="J446" s="150">
        <v>9</v>
      </c>
      <c r="K446" s="150">
        <v>265</v>
      </c>
      <c r="L446" s="149">
        <v>250.04</v>
      </c>
    </row>
    <row r="447" spans="1:12">
      <c r="A447" s="147" t="s">
        <v>540</v>
      </c>
      <c r="B447" s="147">
        <v>10211316</v>
      </c>
      <c r="C447" s="147" t="s">
        <v>138</v>
      </c>
      <c r="D447" s="147" t="s">
        <v>158</v>
      </c>
      <c r="E447" s="147" t="s">
        <v>99</v>
      </c>
      <c r="F447" s="148" t="s">
        <v>543</v>
      </c>
      <c r="G447" s="147" t="s">
        <v>139</v>
      </c>
      <c r="H447" s="149">
        <v>125.02</v>
      </c>
      <c r="I447" s="150">
        <v>2</v>
      </c>
      <c r="J447" s="150">
        <v>9</v>
      </c>
      <c r="K447" s="150">
        <v>261</v>
      </c>
      <c r="L447" s="149">
        <v>250.04</v>
      </c>
    </row>
    <row r="448" spans="1:12">
      <c r="A448" s="147" t="s">
        <v>540</v>
      </c>
      <c r="B448" s="147">
        <v>10211316</v>
      </c>
      <c r="C448" s="147" t="s">
        <v>138</v>
      </c>
      <c r="D448" s="147" t="s">
        <v>158</v>
      </c>
      <c r="E448" s="147" t="s">
        <v>99</v>
      </c>
      <c r="F448" s="148" t="s">
        <v>544</v>
      </c>
      <c r="G448" s="147" t="s">
        <v>139</v>
      </c>
      <c r="H448" s="149">
        <v>125.02</v>
      </c>
      <c r="I448" s="150">
        <v>2</v>
      </c>
      <c r="J448" s="150">
        <v>9</v>
      </c>
      <c r="K448" s="150">
        <v>732</v>
      </c>
      <c r="L448" s="149">
        <v>250.04</v>
      </c>
    </row>
    <row r="449" spans="1:12">
      <c r="A449" s="147" t="s">
        <v>540</v>
      </c>
      <c r="B449" s="147">
        <v>10211316</v>
      </c>
      <c r="C449" s="147" t="s">
        <v>138</v>
      </c>
      <c r="D449" s="147" t="s">
        <v>158</v>
      </c>
      <c r="E449" s="147" t="s">
        <v>99</v>
      </c>
      <c r="F449" s="148" t="s">
        <v>545</v>
      </c>
      <c r="G449" s="147" t="s">
        <v>139</v>
      </c>
      <c r="H449" s="149">
        <v>125.02</v>
      </c>
      <c r="I449" s="150">
        <v>2</v>
      </c>
      <c r="J449" s="150">
        <v>9</v>
      </c>
      <c r="K449" s="150">
        <v>948</v>
      </c>
      <c r="L449" s="149">
        <v>250.04</v>
      </c>
    </row>
    <row r="450" spans="1:12">
      <c r="A450" s="147" t="s">
        <v>540</v>
      </c>
      <c r="B450" s="147">
        <v>10211316</v>
      </c>
      <c r="C450" s="147" t="s">
        <v>138</v>
      </c>
      <c r="D450" s="147" t="s">
        <v>158</v>
      </c>
      <c r="E450" s="147" t="s">
        <v>99</v>
      </c>
      <c r="F450" s="148" t="s">
        <v>546</v>
      </c>
      <c r="G450" s="147" t="s">
        <v>139</v>
      </c>
      <c r="H450" s="149">
        <v>125.02</v>
      </c>
      <c r="I450" s="150">
        <v>2</v>
      </c>
      <c r="J450" s="150">
        <v>9</v>
      </c>
      <c r="K450" s="150">
        <v>766</v>
      </c>
      <c r="L450" s="149">
        <v>250.04</v>
      </c>
    </row>
    <row r="451" spans="1:12">
      <c r="A451" s="147" t="s">
        <v>540</v>
      </c>
      <c r="B451" s="147">
        <v>10211316</v>
      </c>
      <c r="C451" s="147" t="s">
        <v>138</v>
      </c>
      <c r="D451" s="147" t="s">
        <v>158</v>
      </c>
      <c r="E451" s="147" t="s">
        <v>99</v>
      </c>
      <c r="F451" s="148" t="s">
        <v>547</v>
      </c>
      <c r="G451" s="147" t="s">
        <v>139</v>
      </c>
      <c r="H451" s="149">
        <v>125.02</v>
      </c>
      <c r="I451" s="150">
        <v>2</v>
      </c>
      <c r="J451" s="150">
        <v>9</v>
      </c>
      <c r="K451" s="150">
        <v>878</v>
      </c>
      <c r="L451" s="149">
        <v>250.04</v>
      </c>
    </row>
    <row r="452" spans="1:12">
      <c r="A452" s="147" t="s">
        <v>540</v>
      </c>
      <c r="B452" s="147">
        <v>10211316</v>
      </c>
      <c r="C452" s="147" t="s">
        <v>138</v>
      </c>
      <c r="D452" s="147" t="s">
        <v>158</v>
      </c>
      <c r="E452" s="147" t="s">
        <v>99</v>
      </c>
      <c r="F452" s="148" t="s">
        <v>548</v>
      </c>
      <c r="G452" s="147" t="s">
        <v>139</v>
      </c>
      <c r="H452" s="149">
        <v>125.02</v>
      </c>
      <c r="I452" s="150">
        <v>2</v>
      </c>
      <c r="J452" s="150">
        <v>9</v>
      </c>
      <c r="K452" s="150">
        <v>274</v>
      </c>
      <c r="L452" s="149">
        <v>250.04</v>
      </c>
    </row>
    <row r="453" spans="1:12">
      <c r="A453" s="147" t="s">
        <v>540</v>
      </c>
      <c r="B453" s="147">
        <v>10211316</v>
      </c>
      <c r="C453" s="147" t="s">
        <v>138</v>
      </c>
      <c r="D453" s="147" t="s">
        <v>158</v>
      </c>
      <c r="E453" s="147" t="s">
        <v>99</v>
      </c>
      <c r="F453" s="148" t="s">
        <v>549</v>
      </c>
      <c r="G453" s="147" t="s">
        <v>139</v>
      </c>
      <c r="H453" s="149">
        <v>125.02</v>
      </c>
      <c r="I453" s="150">
        <v>2</v>
      </c>
      <c r="J453" s="150">
        <v>9</v>
      </c>
      <c r="K453" s="150">
        <v>858</v>
      </c>
      <c r="L453" s="149">
        <v>250.04</v>
      </c>
    </row>
    <row r="454" spans="1:12">
      <c r="A454" s="147" t="s">
        <v>540</v>
      </c>
      <c r="B454" s="147">
        <v>10211316</v>
      </c>
      <c r="C454" s="147" t="s">
        <v>138</v>
      </c>
      <c r="D454" s="147" t="s">
        <v>158</v>
      </c>
      <c r="E454" s="147" t="s">
        <v>99</v>
      </c>
      <c r="F454" s="148" t="s">
        <v>550</v>
      </c>
      <c r="G454" s="147" t="s">
        <v>139</v>
      </c>
      <c r="H454" s="149">
        <v>125.02</v>
      </c>
      <c r="I454" s="150">
        <v>2</v>
      </c>
      <c r="J454" s="150">
        <v>9</v>
      </c>
      <c r="K454" s="150">
        <v>772</v>
      </c>
      <c r="L454" s="149">
        <v>250.04</v>
      </c>
    </row>
    <row r="455" spans="1:12">
      <c r="A455" s="147" t="s">
        <v>540</v>
      </c>
      <c r="B455" s="147">
        <v>10211316</v>
      </c>
      <c r="C455" s="147" t="s">
        <v>138</v>
      </c>
      <c r="D455" s="147" t="s">
        <v>158</v>
      </c>
      <c r="E455" s="147" t="s">
        <v>99</v>
      </c>
      <c r="F455" s="148" t="s">
        <v>551</v>
      </c>
      <c r="G455" s="147" t="s">
        <v>139</v>
      </c>
      <c r="H455" s="149">
        <v>125.02</v>
      </c>
      <c r="I455" s="150">
        <v>2</v>
      </c>
      <c r="J455" s="150">
        <v>9</v>
      </c>
      <c r="K455" s="150">
        <v>690</v>
      </c>
      <c r="L455" s="149">
        <v>250.04</v>
      </c>
    </row>
    <row r="456" spans="1:12">
      <c r="A456" s="147" t="s">
        <v>540</v>
      </c>
      <c r="B456" s="147">
        <v>10211316</v>
      </c>
      <c r="C456" s="147" t="s">
        <v>138</v>
      </c>
      <c r="D456" s="147" t="s">
        <v>158</v>
      </c>
      <c r="E456" s="147" t="s">
        <v>99</v>
      </c>
      <c r="F456" s="148" t="s">
        <v>552</v>
      </c>
      <c r="G456" s="147" t="s">
        <v>139</v>
      </c>
      <c r="H456" s="149">
        <v>125.02</v>
      </c>
      <c r="I456" s="150">
        <v>2</v>
      </c>
      <c r="J456" s="150">
        <v>9</v>
      </c>
      <c r="K456" s="150">
        <v>650</v>
      </c>
      <c r="L456" s="149">
        <v>250.04</v>
      </c>
    </row>
    <row r="457" spans="1:12">
      <c r="A457" s="147" t="s">
        <v>540</v>
      </c>
      <c r="B457" s="147">
        <v>10211316</v>
      </c>
      <c r="C457" s="147" t="s">
        <v>138</v>
      </c>
      <c r="D457" s="147" t="s">
        <v>158</v>
      </c>
      <c r="E457" s="147" t="s">
        <v>99</v>
      </c>
      <c r="F457" s="148" t="s">
        <v>553</v>
      </c>
      <c r="G457" s="147" t="s">
        <v>139</v>
      </c>
      <c r="H457" s="149">
        <v>125.02</v>
      </c>
      <c r="I457" s="150">
        <v>2</v>
      </c>
      <c r="J457" s="150">
        <v>9</v>
      </c>
      <c r="K457" s="150">
        <v>958</v>
      </c>
      <c r="L457" s="149">
        <v>250.04</v>
      </c>
    </row>
    <row r="458" spans="1:12">
      <c r="A458" s="147" t="s">
        <v>540</v>
      </c>
      <c r="B458" s="147">
        <v>10211316</v>
      </c>
      <c r="C458" s="147" t="s">
        <v>138</v>
      </c>
      <c r="D458" s="147" t="s">
        <v>158</v>
      </c>
      <c r="E458" s="147" t="s">
        <v>99</v>
      </c>
      <c r="F458" s="148" t="s">
        <v>554</v>
      </c>
      <c r="G458" s="147" t="s">
        <v>139</v>
      </c>
      <c r="H458" s="149">
        <v>125.02</v>
      </c>
      <c r="I458" s="150">
        <v>2</v>
      </c>
      <c r="J458" s="150">
        <v>9</v>
      </c>
      <c r="K458" s="150">
        <v>535</v>
      </c>
      <c r="L458" s="149">
        <v>250.04</v>
      </c>
    </row>
    <row r="459" spans="1:12">
      <c r="A459" s="147" t="s">
        <v>540</v>
      </c>
      <c r="B459" s="147">
        <v>10211316</v>
      </c>
      <c r="C459" s="147" t="s">
        <v>138</v>
      </c>
      <c r="D459" s="147" t="s">
        <v>158</v>
      </c>
      <c r="E459" s="147" t="s">
        <v>99</v>
      </c>
      <c r="F459" s="148" t="s">
        <v>555</v>
      </c>
      <c r="G459" s="147" t="s">
        <v>139</v>
      </c>
      <c r="H459" s="149">
        <v>125.02</v>
      </c>
      <c r="I459" s="150">
        <v>2</v>
      </c>
      <c r="J459" s="150">
        <v>9</v>
      </c>
      <c r="K459" s="150">
        <v>808</v>
      </c>
      <c r="L459" s="149">
        <v>250.04</v>
      </c>
    </row>
    <row r="460" spans="1:12">
      <c r="A460" s="147" t="s">
        <v>540</v>
      </c>
      <c r="B460" s="147">
        <v>10211316</v>
      </c>
      <c r="C460" s="147" t="s">
        <v>138</v>
      </c>
      <c r="D460" s="147" t="s">
        <v>158</v>
      </c>
      <c r="E460" s="147" t="s">
        <v>99</v>
      </c>
      <c r="F460" s="148" t="s">
        <v>556</v>
      </c>
      <c r="G460" s="147" t="s">
        <v>139</v>
      </c>
      <c r="H460" s="149">
        <v>125.02</v>
      </c>
      <c r="I460" s="150">
        <v>2</v>
      </c>
      <c r="J460" s="150">
        <v>9</v>
      </c>
      <c r="K460" s="150">
        <v>1020</v>
      </c>
      <c r="L460" s="149">
        <v>250.04</v>
      </c>
    </row>
    <row r="461" spans="1:12">
      <c r="A461" s="147" t="s">
        <v>540</v>
      </c>
      <c r="B461" s="147">
        <v>10211316</v>
      </c>
      <c r="C461" s="147" t="s">
        <v>138</v>
      </c>
      <c r="D461" s="147" t="s">
        <v>158</v>
      </c>
      <c r="E461" s="147" t="s">
        <v>99</v>
      </c>
      <c r="F461" s="148" t="s">
        <v>557</v>
      </c>
      <c r="G461" s="147" t="s">
        <v>139</v>
      </c>
      <c r="H461" s="149">
        <v>125.02</v>
      </c>
      <c r="I461" s="150">
        <v>2</v>
      </c>
      <c r="J461" s="150">
        <v>9</v>
      </c>
      <c r="K461" s="150">
        <v>960</v>
      </c>
      <c r="L461" s="149">
        <v>250.04</v>
      </c>
    </row>
    <row r="462" spans="1:12">
      <c r="A462" s="147" t="s">
        <v>540</v>
      </c>
      <c r="B462" s="147">
        <v>10211316</v>
      </c>
      <c r="C462" s="147" t="s">
        <v>138</v>
      </c>
      <c r="D462" s="147" t="s">
        <v>158</v>
      </c>
      <c r="E462" s="147" t="s">
        <v>99</v>
      </c>
      <c r="F462" s="148" t="s">
        <v>558</v>
      </c>
      <c r="G462" s="147" t="s">
        <v>139</v>
      </c>
      <c r="H462" s="149">
        <v>125.02</v>
      </c>
      <c r="I462" s="150">
        <v>2</v>
      </c>
      <c r="J462" s="150">
        <v>9</v>
      </c>
      <c r="K462" s="150">
        <v>551</v>
      </c>
      <c r="L462" s="149">
        <v>250.04</v>
      </c>
    </row>
    <row r="463" spans="1:12">
      <c r="A463" s="147" t="s">
        <v>540</v>
      </c>
      <c r="B463" s="147">
        <v>10211316</v>
      </c>
      <c r="C463" s="147" t="s">
        <v>138</v>
      </c>
      <c r="D463" s="147" t="s">
        <v>158</v>
      </c>
      <c r="E463" s="147" t="s">
        <v>99</v>
      </c>
      <c r="F463" s="148" t="s">
        <v>559</v>
      </c>
      <c r="G463" s="147" t="s">
        <v>139</v>
      </c>
      <c r="H463" s="149">
        <v>125.02</v>
      </c>
      <c r="I463" s="150">
        <v>0</v>
      </c>
      <c r="J463" s="150">
        <v>0</v>
      </c>
      <c r="K463" s="150">
        <v>0</v>
      </c>
      <c r="L463" s="149">
        <v>0</v>
      </c>
    </row>
    <row r="464" spans="1:12">
      <c r="A464" s="147" t="s">
        <v>540</v>
      </c>
      <c r="B464" s="147">
        <v>10211316</v>
      </c>
      <c r="C464" s="147" t="s">
        <v>138</v>
      </c>
      <c r="D464" s="147" t="s">
        <v>158</v>
      </c>
      <c r="E464" s="147" t="s">
        <v>99</v>
      </c>
      <c r="F464" s="148" t="s">
        <v>560</v>
      </c>
      <c r="G464" s="147" t="s">
        <v>139</v>
      </c>
      <c r="H464" s="149">
        <v>125.02</v>
      </c>
      <c r="I464" s="150">
        <v>2</v>
      </c>
      <c r="J464" s="150">
        <v>9</v>
      </c>
      <c r="K464" s="150">
        <v>1027</v>
      </c>
      <c r="L464" s="149">
        <v>250.04</v>
      </c>
    </row>
    <row r="465" spans="1:12">
      <c r="A465" s="147" t="s">
        <v>540</v>
      </c>
      <c r="B465" s="147">
        <v>10211316</v>
      </c>
      <c r="C465" s="147" t="s">
        <v>138</v>
      </c>
      <c r="D465" s="147" t="s">
        <v>158</v>
      </c>
      <c r="E465" s="147" t="s">
        <v>99</v>
      </c>
      <c r="F465" s="148" t="s">
        <v>561</v>
      </c>
      <c r="G465" s="147" t="s">
        <v>139</v>
      </c>
      <c r="H465" s="149">
        <v>125.02</v>
      </c>
      <c r="I465" s="150">
        <v>2</v>
      </c>
      <c r="J465" s="150">
        <v>9</v>
      </c>
      <c r="K465" s="150">
        <v>1098</v>
      </c>
      <c r="L465" s="149">
        <v>250.04</v>
      </c>
    </row>
    <row r="466" spans="1:12">
      <c r="A466" s="147" t="s">
        <v>540</v>
      </c>
      <c r="B466" s="147">
        <v>10211316</v>
      </c>
      <c r="C466" s="147" t="s">
        <v>138</v>
      </c>
      <c r="D466" s="147" t="s">
        <v>158</v>
      </c>
      <c r="E466" s="147" t="s">
        <v>99</v>
      </c>
      <c r="F466" s="148" t="s">
        <v>562</v>
      </c>
      <c r="G466" s="147" t="s">
        <v>139</v>
      </c>
      <c r="H466" s="149">
        <v>125.02</v>
      </c>
      <c r="I466" s="150">
        <v>2</v>
      </c>
      <c r="J466" s="150">
        <v>9</v>
      </c>
      <c r="K466" s="150">
        <v>527</v>
      </c>
      <c r="L466" s="149">
        <v>250.04</v>
      </c>
    </row>
    <row r="467" spans="1:12">
      <c r="A467" s="147" t="s">
        <v>540</v>
      </c>
      <c r="B467" s="147">
        <v>10211316</v>
      </c>
      <c r="C467" s="147" t="s">
        <v>138</v>
      </c>
      <c r="D467" s="147" t="s">
        <v>158</v>
      </c>
      <c r="E467" s="147" t="s">
        <v>99</v>
      </c>
      <c r="F467" s="148" t="s">
        <v>563</v>
      </c>
      <c r="G467" s="147" t="s">
        <v>139</v>
      </c>
      <c r="H467" s="149">
        <v>125.02</v>
      </c>
      <c r="I467" s="150">
        <v>2</v>
      </c>
      <c r="J467" s="150">
        <v>9</v>
      </c>
      <c r="K467" s="150">
        <v>833</v>
      </c>
      <c r="L467" s="149">
        <v>250.04</v>
      </c>
    </row>
    <row r="468" spans="1:12">
      <c r="A468" s="147" t="s">
        <v>540</v>
      </c>
      <c r="B468" s="147">
        <v>10211316</v>
      </c>
      <c r="C468" s="147" t="s">
        <v>138</v>
      </c>
      <c r="D468" s="147" t="s">
        <v>158</v>
      </c>
      <c r="E468" s="147" t="s">
        <v>99</v>
      </c>
      <c r="F468" s="148" t="s">
        <v>564</v>
      </c>
      <c r="G468" s="147" t="s">
        <v>139</v>
      </c>
      <c r="H468" s="149">
        <v>125.02</v>
      </c>
      <c r="I468" s="150">
        <v>2</v>
      </c>
      <c r="J468" s="150">
        <v>9</v>
      </c>
      <c r="K468" s="150">
        <v>1088</v>
      </c>
      <c r="L468" s="149">
        <v>250.04</v>
      </c>
    </row>
    <row r="469" spans="1:12">
      <c r="A469" s="147" t="s">
        <v>540</v>
      </c>
      <c r="B469" s="147">
        <v>10211316</v>
      </c>
      <c r="C469" s="147" t="s">
        <v>138</v>
      </c>
      <c r="D469" s="147" t="s">
        <v>158</v>
      </c>
      <c r="E469" s="147" t="s">
        <v>99</v>
      </c>
      <c r="F469" s="148" t="s">
        <v>565</v>
      </c>
      <c r="G469" s="147" t="s">
        <v>139</v>
      </c>
      <c r="H469" s="149">
        <v>125.02</v>
      </c>
      <c r="I469" s="150">
        <v>2</v>
      </c>
      <c r="J469" s="150">
        <v>9</v>
      </c>
      <c r="K469" s="150">
        <v>888</v>
      </c>
      <c r="L469" s="149">
        <v>250.04</v>
      </c>
    </row>
    <row r="470" spans="1:12">
      <c r="A470" s="147" t="s">
        <v>540</v>
      </c>
      <c r="B470" s="147">
        <v>10211316</v>
      </c>
      <c r="C470" s="147" t="s">
        <v>138</v>
      </c>
      <c r="D470" s="147" t="s">
        <v>158</v>
      </c>
      <c r="E470" s="147" t="s">
        <v>99</v>
      </c>
      <c r="F470" s="148" t="s">
        <v>566</v>
      </c>
      <c r="G470" s="147" t="s">
        <v>139</v>
      </c>
      <c r="H470" s="149">
        <v>125.02</v>
      </c>
      <c r="I470" s="150">
        <v>2</v>
      </c>
      <c r="J470" s="150">
        <v>9</v>
      </c>
      <c r="K470" s="150">
        <v>258</v>
      </c>
      <c r="L470" s="149">
        <v>250.04</v>
      </c>
    </row>
    <row r="471" spans="1:12">
      <c r="A471" s="147" t="s">
        <v>567</v>
      </c>
      <c r="B471" s="147">
        <v>10211316</v>
      </c>
      <c r="C471" s="147" t="s">
        <v>138</v>
      </c>
      <c r="D471" s="147" t="s">
        <v>158</v>
      </c>
      <c r="E471" s="147" t="s">
        <v>99</v>
      </c>
      <c r="F471" s="148" t="s">
        <v>568</v>
      </c>
      <c r="G471" s="147" t="s">
        <v>139</v>
      </c>
      <c r="H471" s="149">
        <v>125.02</v>
      </c>
      <c r="I471" s="150">
        <v>2</v>
      </c>
      <c r="J471" s="150">
        <v>9</v>
      </c>
      <c r="K471" s="150">
        <v>1018</v>
      </c>
      <c r="L471" s="149">
        <v>250.04</v>
      </c>
    </row>
    <row r="472" spans="1:12">
      <c r="A472" s="147" t="s">
        <v>567</v>
      </c>
      <c r="B472" s="147">
        <v>10211316</v>
      </c>
      <c r="C472" s="147" t="s">
        <v>138</v>
      </c>
      <c r="D472" s="147" t="s">
        <v>158</v>
      </c>
      <c r="E472" s="147" t="s">
        <v>99</v>
      </c>
      <c r="F472" s="148" t="s">
        <v>569</v>
      </c>
      <c r="G472" s="147" t="s">
        <v>139</v>
      </c>
      <c r="H472" s="149">
        <v>125.02</v>
      </c>
      <c r="I472" s="150">
        <v>2</v>
      </c>
      <c r="J472" s="150">
        <v>9</v>
      </c>
      <c r="K472" s="150">
        <v>1148</v>
      </c>
      <c r="L472" s="149">
        <v>250.04</v>
      </c>
    </row>
    <row r="473" spans="1:12">
      <c r="A473" s="147" t="s">
        <v>567</v>
      </c>
      <c r="B473" s="147">
        <v>10211316</v>
      </c>
      <c r="C473" s="147" t="s">
        <v>138</v>
      </c>
      <c r="D473" s="147" t="s">
        <v>158</v>
      </c>
      <c r="E473" s="147" t="s">
        <v>99</v>
      </c>
      <c r="F473" s="148" t="s">
        <v>570</v>
      </c>
      <c r="G473" s="147" t="s">
        <v>139</v>
      </c>
      <c r="H473" s="149">
        <v>125.02</v>
      </c>
      <c r="I473" s="150">
        <v>2</v>
      </c>
      <c r="J473" s="150">
        <v>9</v>
      </c>
      <c r="K473" s="150">
        <v>1095</v>
      </c>
      <c r="L473" s="149">
        <v>250.04</v>
      </c>
    </row>
    <row r="474" spans="1:12">
      <c r="A474" s="147" t="s">
        <v>567</v>
      </c>
      <c r="B474" s="147">
        <v>10211316</v>
      </c>
      <c r="C474" s="147" t="s">
        <v>138</v>
      </c>
      <c r="D474" s="147" t="s">
        <v>158</v>
      </c>
      <c r="E474" s="147" t="s">
        <v>99</v>
      </c>
      <c r="F474" s="148" t="s">
        <v>571</v>
      </c>
      <c r="G474" s="147" t="s">
        <v>139</v>
      </c>
      <c r="H474" s="149">
        <v>125.02</v>
      </c>
      <c r="I474" s="150">
        <v>2</v>
      </c>
      <c r="J474" s="150">
        <v>9</v>
      </c>
      <c r="K474" s="150">
        <v>1028</v>
      </c>
      <c r="L474" s="149">
        <v>250.04</v>
      </c>
    </row>
    <row r="475" spans="1:12">
      <c r="A475" s="147" t="s">
        <v>567</v>
      </c>
      <c r="B475" s="147">
        <v>10211316</v>
      </c>
      <c r="C475" s="147" t="s">
        <v>138</v>
      </c>
      <c r="D475" s="147" t="s">
        <v>158</v>
      </c>
      <c r="E475" s="147" t="s">
        <v>99</v>
      </c>
      <c r="F475" s="148" t="s">
        <v>572</v>
      </c>
      <c r="G475" s="147" t="s">
        <v>139</v>
      </c>
      <c r="H475" s="149">
        <v>125.02</v>
      </c>
      <c r="I475" s="150">
        <v>2</v>
      </c>
      <c r="J475" s="150">
        <v>9</v>
      </c>
      <c r="K475" s="150">
        <v>817</v>
      </c>
      <c r="L475" s="149">
        <v>250.04</v>
      </c>
    </row>
    <row r="476" spans="1:12">
      <c r="A476" s="147" t="s">
        <v>567</v>
      </c>
      <c r="B476" s="147">
        <v>10211316</v>
      </c>
      <c r="C476" s="147" t="s">
        <v>138</v>
      </c>
      <c r="D476" s="147" t="s">
        <v>158</v>
      </c>
      <c r="E476" s="147" t="s">
        <v>99</v>
      </c>
      <c r="F476" s="148" t="s">
        <v>573</v>
      </c>
      <c r="G476" s="147" t="s">
        <v>139</v>
      </c>
      <c r="H476" s="149">
        <v>125.02</v>
      </c>
      <c r="I476" s="150">
        <v>2</v>
      </c>
      <c r="J476" s="150">
        <v>9</v>
      </c>
      <c r="K476" s="150">
        <v>1178</v>
      </c>
      <c r="L476" s="149">
        <v>250.04</v>
      </c>
    </row>
    <row r="477" spans="1:12">
      <c r="A477" s="147" t="s">
        <v>567</v>
      </c>
      <c r="B477" s="147">
        <v>10211316</v>
      </c>
      <c r="C477" s="147" t="s">
        <v>138</v>
      </c>
      <c r="D477" s="147" t="s">
        <v>158</v>
      </c>
      <c r="E477" s="147" t="s">
        <v>99</v>
      </c>
      <c r="F477" s="148" t="s">
        <v>574</v>
      </c>
      <c r="G477" s="147" t="s">
        <v>139</v>
      </c>
      <c r="H477" s="149">
        <v>125.02</v>
      </c>
      <c r="I477" s="150">
        <v>2</v>
      </c>
      <c r="J477" s="150">
        <v>9</v>
      </c>
      <c r="K477" s="150">
        <v>818</v>
      </c>
      <c r="L477" s="149">
        <v>250.04</v>
      </c>
    </row>
    <row r="478" spans="1:12">
      <c r="A478" s="147" t="s">
        <v>567</v>
      </c>
      <c r="B478" s="147">
        <v>10211316</v>
      </c>
      <c r="C478" s="147" t="s">
        <v>138</v>
      </c>
      <c r="D478" s="147" t="s">
        <v>158</v>
      </c>
      <c r="E478" s="147" t="s">
        <v>99</v>
      </c>
      <c r="F478" s="148" t="s">
        <v>575</v>
      </c>
      <c r="G478" s="147" t="s">
        <v>139</v>
      </c>
      <c r="H478" s="149">
        <v>125.02</v>
      </c>
      <c r="I478" s="150">
        <v>2</v>
      </c>
      <c r="J478" s="150">
        <v>9</v>
      </c>
      <c r="K478" s="150">
        <v>851</v>
      </c>
      <c r="L478" s="149">
        <v>250.04</v>
      </c>
    </row>
    <row r="479" spans="1:12">
      <c r="A479" s="147" t="s">
        <v>567</v>
      </c>
      <c r="B479" s="147">
        <v>10211316</v>
      </c>
      <c r="C479" s="147" t="s">
        <v>138</v>
      </c>
      <c r="D479" s="147" t="s">
        <v>158</v>
      </c>
      <c r="E479" s="147" t="s">
        <v>99</v>
      </c>
      <c r="F479" s="148" t="s">
        <v>576</v>
      </c>
      <c r="G479" s="147" t="s">
        <v>139</v>
      </c>
      <c r="H479" s="149">
        <v>125.02</v>
      </c>
      <c r="I479" s="150">
        <v>2</v>
      </c>
      <c r="J479" s="150">
        <v>9</v>
      </c>
      <c r="K479" s="150">
        <v>878</v>
      </c>
      <c r="L479" s="149">
        <v>250.04</v>
      </c>
    </row>
    <row r="480" spans="1:12">
      <c r="A480" s="147" t="s">
        <v>567</v>
      </c>
      <c r="B480" s="147">
        <v>10211316</v>
      </c>
      <c r="C480" s="147" t="s">
        <v>138</v>
      </c>
      <c r="D480" s="147" t="s">
        <v>158</v>
      </c>
      <c r="E480" s="147" t="s">
        <v>99</v>
      </c>
      <c r="F480" s="148" t="s">
        <v>577</v>
      </c>
      <c r="G480" s="147" t="s">
        <v>139</v>
      </c>
      <c r="H480" s="149">
        <v>125.02</v>
      </c>
      <c r="I480" s="150">
        <v>2</v>
      </c>
      <c r="J480" s="150">
        <v>9</v>
      </c>
      <c r="K480" s="150">
        <v>918</v>
      </c>
      <c r="L480" s="149">
        <v>250.04</v>
      </c>
    </row>
    <row r="481" spans="1:12">
      <c r="A481" s="147" t="s">
        <v>567</v>
      </c>
      <c r="B481" s="147">
        <v>10211316</v>
      </c>
      <c r="C481" s="147" t="s">
        <v>138</v>
      </c>
      <c r="D481" s="147" t="s">
        <v>158</v>
      </c>
      <c r="E481" s="147" t="s">
        <v>99</v>
      </c>
      <c r="F481" s="148" t="s">
        <v>578</v>
      </c>
      <c r="G481" s="147" t="s">
        <v>139</v>
      </c>
      <c r="H481" s="149">
        <v>125.02</v>
      </c>
      <c r="I481" s="150">
        <v>2</v>
      </c>
      <c r="J481" s="150">
        <v>9</v>
      </c>
      <c r="K481" s="150">
        <v>388</v>
      </c>
      <c r="L481" s="149">
        <v>250.04</v>
      </c>
    </row>
    <row r="482" spans="1:12">
      <c r="A482" s="147" t="s">
        <v>567</v>
      </c>
      <c r="B482" s="147">
        <v>10211316</v>
      </c>
      <c r="C482" s="147" t="s">
        <v>138</v>
      </c>
      <c r="D482" s="147" t="s">
        <v>158</v>
      </c>
      <c r="E482" s="147" t="s">
        <v>99</v>
      </c>
      <c r="F482" s="148" t="s">
        <v>579</v>
      </c>
      <c r="G482" s="147" t="s">
        <v>139</v>
      </c>
      <c r="H482" s="149">
        <v>125.02</v>
      </c>
      <c r="I482" s="150">
        <v>2</v>
      </c>
      <c r="J482" s="150">
        <v>9</v>
      </c>
      <c r="K482" s="150">
        <v>1078</v>
      </c>
      <c r="L482" s="149">
        <v>250.04</v>
      </c>
    </row>
    <row r="483" spans="1:12">
      <c r="A483" s="147" t="s">
        <v>567</v>
      </c>
      <c r="B483" s="147">
        <v>10211316</v>
      </c>
      <c r="C483" s="147" t="s">
        <v>138</v>
      </c>
      <c r="D483" s="147" t="s">
        <v>158</v>
      </c>
      <c r="E483" s="147" t="s">
        <v>99</v>
      </c>
      <c r="F483" s="148" t="s">
        <v>580</v>
      </c>
      <c r="G483" s="147" t="s">
        <v>139</v>
      </c>
      <c r="H483" s="149">
        <v>125.02</v>
      </c>
      <c r="I483" s="150">
        <v>2</v>
      </c>
      <c r="J483" s="150">
        <v>9</v>
      </c>
      <c r="K483" s="150">
        <v>658</v>
      </c>
      <c r="L483" s="149">
        <v>250.04</v>
      </c>
    </row>
    <row r="484" spans="1:12">
      <c r="A484" s="147" t="s">
        <v>567</v>
      </c>
      <c r="B484" s="147">
        <v>10211316</v>
      </c>
      <c r="C484" s="147" t="s">
        <v>138</v>
      </c>
      <c r="D484" s="147" t="s">
        <v>158</v>
      </c>
      <c r="E484" s="147" t="s">
        <v>99</v>
      </c>
      <c r="F484" s="148" t="s">
        <v>581</v>
      </c>
      <c r="G484" s="147" t="s">
        <v>139</v>
      </c>
      <c r="H484" s="149">
        <v>125.02</v>
      </c>
      <c r="I484" s="150">
        <v>2</v>
      </c>
      <c r="J484" s="150">
        <v>9</v>
      </c>
      <c r="K484" s="150">
        <v>468</v>
      </c>
      <c r="L484" s="149">
        <v>250.04</v>
      </c>
    </row>
    <row r="485" spans="1:12">
      <c r="A485" s="147" t="s">
        <v>567</v>
      </c>
      <c r="B485" s="147">
        <v>10211316</v>
      </c>
      <c r="C485" s="147" t="s">
        <v>138</v>
      </c>
      <c r="D485" s="147" t="s">
        <v>158</v>
      </c>
      <c r="E485" s="147" t="s">
        <v>99</v>
      </c>
      <c r="F485" s="148" t="s">
        <v>582</v>
      </c>
      <c r="G485" s="147" t="s">
        <v>139</v>
      </c>
      <c r="H485" s="149">
        <v>125.02</v>
      </c>
      <c r="I485" s="150">
        <v>2</v>
      </c>
      <c r="J485" s="150">
        <v>9</v>
      </c>
      <c r="K485" s="150">
        <v>818</v>
      </c>
      <c r="L485" s="149">
        <v>250.04</v>
      </c>
    </row>
    <row r="486" spans="1:12">
      <c r="A486" s="147" t="s">
        <v>567</v>
      </c>
      <c r="B486" s="147">
        <v>10211316</v>
      </c>
      <c r="C486" s="147" t="s">
        <v>138</v>
      </c>
      <c r="D486" s="147" t="s">
        <v>158</v>
      </c>
      <c r="E486" s="147" t="s">
        <v>99</v>
      </c>
      <c r="F486" s="148" t="s">
        <v>583</v>
      </c>
      <c r="G486" s="147" t="s">
        <v>139</v>
      </c>
      <c r="H486" s="149">
        <v>125.02</v>
      </c>
      <c r="I486" s="150">
        <v>2</v>
      </c>
      <c r="J486" s="150">
        <v>9</v>
      </c>
      <c r="K486" s="150">
        <v>989</v>
      </c>
      <c r="L486" s="149">
        <v>250.04</v>
      </c>
    </row>
    <row r="487" spans="1:12">
      <c r="A487" s="147" t="s">
        <v>567</v>
      </c>
      <c r="B487" s="147">
        <v>10211316</v>
      </c>
      <c r="C487" s="147" t="s">
        <v>138</v>
      </c>
      <c r="D487" s="147" t="s">
        <v>158</v>
      </c>
      <c r="E487" s="147" t="s">
        <v>99</v>
      </c>
      <c r="F487" s="148" t="s">
        <v>584</v>
      </c>
      <c r="G487" s="147" t="s">
        <v>139</v>
      </c>
      <c r="H487" s="149">
        <v>125.02</v>
      </c>
      <c r="I487" s="150">
        <v>2</v>
      </c>
      <c r="J487" s="150">
        <v>9</v>
      </c>
      <c r="K487" s="150">
        <v>222</v>
      </c>
      <c r="L487" s="149">
        <v>250.04</v>
      </c>
    </row>
    <row r="488" spans="1:12">
      <c r="A488" s="147" t="s">
        <v>567</v>
      </c>
      <c r="B488" s="147">
        <v>10211316</v>
      </c>
      <c r="C488" s="147" t="s">
        <v>138</v>
      </c>
      <c r="D488" s="147" t="s">
        <v>158</v>
      </c>
      <c r="E488" s="147" t="s">
        <v>99</v>
      </c>
      <c r="F488" s="148" t="s">
        <v>585</v>
      </c>
      <c r="G488" s="147" t="s">
        <v>139</v>
      </c>
      <c r="H488" s="149">
        <v>125.02</v>
      </c>
      <c r="I488" s="150">
        <v>2</v>
      </c>
      <c r="J488" s="150">
        <v>9</v>
      </c>
      <c r="K488" s="150">
        <v>1112</v>
      </c>
      <c r="L488" s="149">
        <v>250.04</v>
      </c>
    </row>
    <row r="489" spans="1:12">
      <c r="A489" s="147" t="s">
        <v>567</v>
      </c>
      <c r="B489" s="147">
        <v>10211316</v>
      </c>
      <c r="C489" s="147" t="s">
        <v>138</v>
      </c>
      <c r="D489" s="147" t="s">
        <v>158</v>
      </c>
      <c r="E489" s="147" t="s">
        <v>99</v>
      </c>
      <c r="F489" s="148" t="s">
        <v>586</v>
      </c>
      <c r="G489" s="147" t="s">
        <v>139</v>
      </c>
      <c r="H489" s="149">
        <v>125.02</v>
      </c>
      <c r="I489" s="150">
        <v>2</v>
      </c>
      <c r="J489" s="150">
        <v>9</v>
      </c>
      <c r="K489" s="150">
        <v>998</v>
      </c>
      <c r="L489" s="149">
        <v>250.04</v>
      </c>
    </row>
    <row r="490" spans="1:12">
      <c r="A490" s="147" t="s">
        <v>567</v>
      </c>
      <c r="B490" s="147">
        <v>10211316</v>
      </c>
      <c r="C490" s="147" t="s">
        <v>138</v>
      </c>
      <c r="D490" s="147" t="s">
        <v>158</v>
      </c>
      <c r="E490" s="147" t="s">
        <v>99</v>
      </c>
      <c r="F490" s="148" t="s">
        <v>587</v>
      </c>
      <c r="G490" s="147" t="s">
        <v>139</v>
      </c>
      <c r="H490" s="149">
        <v>125.02</v>
      </c>
      <c r="I490" s="150">
        <v>2</v>
      </c>
      <c r="J490" s="150">
        <v>9</v>
      </c>
      <c r="K490" s="150">
        <v>1088</v>
      </c>
      <c r="L490" s="149">
        <v>250.04</v>
      </c>
    </row>
    <row r="491" spans="1:12">
      <c r="A491" s="147" t="s">
        <v>567</v>
      </c>
      <c r="B491" s="147">
        <v>10211316</v>
      </c>
      <c r="C491" s="147" t="s">
        <v>138</v>
      </c>
      <c r="D491" s="147" t="s">
        <v>158</v>
      </c>
      <c r="E491" s="147" t="s">
        <v>99</v>
      </c>
      <c r="F491" s="148" t="s">
        <v>588</v>
      </c>
      <c r="G491" s="147" t="s">
        <v>139</v>
      </c>
      <c r="H491" s="149">
        <v>125.02</v>
      </c>
      <c r="I491" s="150">
        <v>2</v>
      </c>
      <c r="J491" s="150">
        <v>9</v>
      </c>
      <c r="K491" s="150">
        <v>1058</v>
      </c>
      <c r="L491" s="149">
        <v>250.04</v>
      </c>
    </row>
    <row r="492" spans="1:12">
      <c r="A492" s="147" t="s">
        <v>567</v>
      </c>
      <c r="B492" s="147">
        <v>10211316</v>
      </c>
      <c r="C492" s="147" t="s">
        <v>138</v>
      </c>
      <c r="D492" s="147" t="s">
        <v>158</v>
      </c>
      <c r="E492" s="147" t="s">
        <v>99</v>
      </c>
      <c r="F492" s="148" t="s">
        <v>589</v>
      </c>
      <c r="G492" s="147" t="s">
        <v>139</v>
      </c>
      <c r="H492" s="149">
        <v>125.02</v>
      </c>
      <c r="I492" s="150">
        <v>2</v>
      </c>
      <c r="J492" s="150">
        <v>9</v>
      </c>
      <c r="K492" s="150">
        <v>958</v>
      </c>
      <c r="L492" s="149">
        <v>250.04</v>
      </c>
    </row>
    <row r="493" spans="1:12">
      <c r="A493" s="147" t="s">
        <v>567</v>
      </c>
      <c r="B493" s="147">
        <v>10211316</v>
      </c>
      <c r="C493" s="147" t="s">
        <v>138</v>
      </c>
      <c r="D493" s="147" t="s">
        <v>158</v>
      </c>
      <c r="E493" s="147" t="s">
        <v>99</v>
      </c>
      <c r="F493" s="148" t="s">
        <v>590</v>
      </c>
      <c r="G493" s="147" t="s">
        <v>139</v>
      </c>
      <c r="H493" s="149">
        <v>125.02</v>
      </c>
      <c r="I493" s="150">
        <v>2</v>
      </c>
      <c r="J493" s="150">
        <v>9</v>
      </c>
      <c r="K493" s="150">
        <v>928</v>
      </c>
      <c r="L493" s="149">
        <v>250.04</v>
      </c>
    </row>
    <row r="494" spans="1:12">
      <c r="A494" s="147" t="s">
        <v>567</v>
      </c>
      <c r="B494" s="147">
        <v>10211316</v>
      </c>
      <c r="C494" s="147" t="s">
        <v>138</v>
      </c>
      <c r="D494" s="147" t="s">
        <v>158</v>
      </c>
      <c r="E494" s="147" t="s">
        <v>99</v>
      </c>
      <c r="F494" s="148" t="s">
        <v>591</v>
      </c>
      <c r="G494" s="147" t="s">
        <v>139</v>
      </c>
      <c r="H494" s="149">
        <v>125.02</v>
      </c>
      <c r="I494" s="150">
        <v>2</v>
      </c>
      <c r="J494" s="150">
        <v>9</v>
      </c>
      <c r="K494" s="150">
        <v>978</v>
      </c>
      <c r="L494" s="149">
        <v>250.04</v>
      </c>
    </row>
    <row r="495" spans="1:12">
      <c r="A495" s="147" t="s">
        <v>567</v>
      </c>
      <c r="B495" s="147">
        <v>10211316</v>
      </c>
      <c r="C495" s="147" t="s">
        <v>138</v>
      </c>
      <c r="D495" s="147" t="s">
        <v>158</v>
      </c>
      <c r="E495" s="147" t="s">
        <v>99</v>
      </c>
      <c r="F495" s="148" t="s">
        <v>592</v>
      </c>
      <c r="G495" s="147" t="s">
        <v>139</v>
      </c>
      <c r="H495" s="149">
        <v>125.02</v>
      </c>
      <c r="I495" s="150">
        <v>2</v>
      </c>
      <c r="J495" s="150">
        <v>9</v>
      </c>
      <c r="K495" s="150">
        <v>998</v>
      </c>
      <c r="L495" s="149">
        <v>250.04</v>
      </c>
    </row>
    <row r="496" spans="1:12">
      <c r="A496" s="147" t="s">
        <v>593</v>
      </c>
      <c r="B496" s="147">
        <v>10211316</v>
      </c>
      <c r="C496" s="147" t="s">
        <v>138</v>
      </c>
      <c r="D496" s="147" t="s">
        <v>158</v>
      </c>
      <c r="E496" s="147" t="s">
        <v>99</v>
      </c>
      <c r="F496" s="148" t="s">
        <v>594</v>
      </c>
      <c r="G496" s="147" t="s">
        <v>139</v>
      </c>
      <c r="H496" s="149">
        <v>125.02</v>
      </c>
      <c r="I496" s="150">
        <v>2</v>
      </c>
      <c r="J496" s="150">
        <v>9</v>
      </c>
      <c r="K496" s="150">
        <v>718</v>
      </c>
      <c r="L496" s="149">
        <v>250.04</v>
      </c>
    </row>
    <row r="497" spans="1:12">
      <c r="A497" s="147" t="s">
        <v>593</v>
      </c>
      <c r="B497" s="147">
        <v>10211316</v>
      </c>
      <c r="C497" s="147" t="s">
        <v>138</v>
      </c>
      <c r="D497" s="147" t="s">
        <v>158</v>
      </c>
      <c r="E497" s="147" t="s">
        <v>99</v>
      </c>
      <c r="F497" s="148" t="s">
        <v>595</v>
      </c>
      <c r="G497" s="147" t="s">
        <v>139</v>
      </c>
      <c r="H497" s="149">
        <v>125.02</v>
      </c>
      <c r="I497" s="150">
        <v>2</v>
      </c>
      <c r="J497" s="150">
        <v>9</v>
      </c>
      <c r="K497" s="150">
        <v>1228</v>
      </c>
      <c r="L497" s="149">
        <v>250.04</v>
      </c>
    </row>
    <row r="498" spans="1:12">
      <c r="A498" s="147" t="s">
        <v>593</v>
      </c>
      <c r="B498" s="147">
        <v>10211316</v>
      </c>
      <c r="C498" s="147" t="s">
        <v>138</v>
      </c>
      <c r="D498" s="147" t="s">
        <v>158</v>
      </c>
      <c r="E498" s="147" t="s">
        <v>99</v>
      </c>
      <c r="F498" s="148" t="s">
        <v>596</v>
      </c>
      <c r="G498" s="147" t="s">
        <v>139</v>
      </c>
      <c r="H498" s="149">
        <v>125.02</v>
      </c>
      <c r="I498" s="150">
        <v>2</v>
      </c>
      <c r="J498" s="150">
        <v>9</v>
      </c>
      <c r="K498" s="150">
        <v>791</v>
      </c>
      <c r="L498" s="149">
        <v>250.04</v>
      </c>
    </row>
    <row r="499" spans="1:12">
      <c r="A499" s="147" t="s">
        <v>593</v>
      </c>
      <c r="B499" s="147">
        <v>10211316</v>
      </c>
      <c r="C499" s="147" t="s">
        <v>138</v>
      </c>
      <c r="D499" s="147" t="s">
        <v>158</v>
      </c>
      <c r="E499" s="147" t="s">
        <v>99</v>
      </c>
      <c r="F499" s="148" t="s">
        <v>597</v>
      </c>
      <c r="G499" s="147" t="s">
        <v>139</v>
      </c>
      <c r="H499" s="149">
        <v>125.02</v>
      </c>
      <c r="I499" s="150">
        <v>2</v>
      </c>
      <c r="J499" s="150">
        <v>9</v>
      </c>
      <c r="K499" s="150">
        <v>115</v>
      </c>
      <c r="L499" s="149">
        <v>250.04</v>
      </c>
    </row>
    <row r="500" spans="1:12">
      <c r="A500" s="147" t="s">
        <v>593</v>
      </c>
      <c r="B500" s="147">
        <v>10211316</v>
      </c>
      <c r="C500" s="147" t="s">
        <v>138</v>
      </c>
      <c r="D500" s="147" t="s">
        <v>158</v>
      </c>
      <c r="E500" s="147" t="s">
        <v>99</v>
      </c>
      <c r="F500" s="148" t="s">
        <v>598</v>
      </c>
      <c r="G500" s="147" t="s">
        <v>139</v>
      </c>
      <c r="H500" s="149">
        <v>125.02</v>
      </c>
      <c r="I500" s="150">
        <v>2</v>
      </c>
      <c r="J500" s="150">
        <v>9</v>
      </c>
      <c r="K500" s="150">
        <v>789</v>
      </c>
      <c r="L500" s="149">
        <v>250.04</v>
      </c>
    </row>
    <row r="501" spans="1:12">
      <c r="A501" s="147" t="s">
        <v>593</v>
      </c>
      <c r="B501" s="147">
        <v>10211316</v>
      </c>
      <c r="C501" s="147" t="s">
        <v>138</v>
      </c>
      <c r="D501" s="147" t="s">
        <v>158</v>
      </c>
      <c r="E501" s="147" t="s">
        <v>99</v>
      </c>
      <c r="F501" s="148" t="s">
        <v>599</v>
      </c>
      <c r="G501" s="147" t="s">
        <v>139</v>
      </c>
      <c r="H501" s="149">
        <v>125.02</v>
      </c>
      <c r="I501" s="150">
        <v>2</v>
      </c>
      <c r="J501" s="150">
        <v>9</v>
      </c>
      <c r="K501" s="150">
        <v>289</v>
      </c>
      <c r="L501" s="149">
        <v>250.04</v>
      </c>
    </row>
    <row r="502" spans="1:12">
      <c r="A502" s="147" t="s">
        <v>593</v>
      </c>
      <c r="B502" s="147">
        <v>10211316</v>
      </c>
      <c r="C502" s="147" t="s">
        <v>138</v>
      </c>
      <c r="D502" s="147" t="s">
        <v>158</v>
      </c>
      <c r="E502" s="147" t="s">
        <v>99</v>
      </c>
      <c r="F502" s="148" t="s">
        <v>600</v>
      </c>
      <c r="G502" s="147" t="s">
        <v>139</v>
      </c>
      <c r="H502" s="149">
        <v>125.02</v>
      </c>
      <c r="I502" s="150">
        <v>2</v>
      </c>
      <c r="J502" s="150">
        <v>9</v>
      </c>
      <c r="K502" s="150">
        <v>204</v>
      </c>
      <c r="L502" s="149">
        <v>250.04</v>
      </c>
    </row>
    <row r="503" spans="1:12">
      <c r="A503" s="147" t="s">
        <v>593</v>
      </c>
      <c r="B503" s="147">
        <v>10211316</v>
      </c>
      <c r="C503" s="147" t="s">
        <v>138</v>
      </c>
      <c r="D503" s="147" t="s">
        <v>158</v>
      </c>
      <c r="E503" s="147" t="s">
        <v>99</v>
      </c>
      <c r="F503" s="148" t="s">
        <v>601</v>
      </c>
      <c r="G503" s="147" t="s">
        <v>139</v>
      </c>
      <c r="H503" s="149">
        <v>125.02</v>
      </c>
      <c r="I503" s="150">
        <v>2</v>
      </c>
      <c r="J503" s="150">
        <v>9</v>
      </c>
      <c r="K503" s="150">
        <v>308</v>
      </c>
      <c r="L503" s="149">
        <v>250.04</v>
      </c>
    </row>
    <row r="504" spans="1:12">
      <c r="A504" s="147" t="s">
        <v>593</v>
      </c>
      <c r="B504" s="147">
        <v>10211316</v>
      </c>
      <c r="C504" s="147" t="s">
        <v>138</v>
      </c>
      <c r="D504" s="147" t="s">
        <v>158</v>
      </c>
      <c r="E504" s="147" t="s">
        <v>99</v>
      </c>
      <c r="F504" s="148" t="s">
        <v>602</v>
      </c>
      <c r="G504" s="147" t="s">
        <v>139</v>
      </c>
      <c r="H504" s="149">
        <v>125.02</v>
      </c>
      <c r="I504" s="150">
        <v>2</v>
      </c>
      <c r="J504" s="150">
        <v>9</v>
      </c>
      <c r="K504" s="150">
        <v>371</v>
      </c>
      <c r="L504" s="149">
        <v>250.04</v>
      </c>
    </row>
    <row r="505" spans="1:12">
      <c r="A505" s="147" t="s">
        <v>593</v>
      </c>
      <c r="B505" s="147">
        <v>10211316</v>
      </c>
      <c r="C505" s="147" t="s">
        <v>138</v>
      </c>
      <c r="D505" s="147" t="s">
        <v>158</v>
      </c>
      <c r="E505" s="147" t="s">
        <v>99</v>
      </c>
      <c r="F505" s="148" t="s">
        <v>603</v>
      </c>
      <c r="G505" s="147" t="s">
        <v>139</v>
      </c>
      <c r="H505" s="149">
        <v>125.02</v>
      </c>
      <c r="I505" s="150">
        <v>2</v>
      </c>
      <c r="J505" s="150">
        <v>9</v>
      </c>
      <c r="K505" s="150">
        <v>320</v>
      </c>
      <c r="L505" s="149">
        <v>250.04</v>
      </c>
    </row>
    <row r="506" spans="1:12">
      <c r="A506" s="147" t="s">
        <v>593</v>
      </c>
      <c r="B506" s="147">
        <v>10211316</v>
      </c>
      <c r="C506" s="147" t="s">
        <v>138</v>
      </c>
      <c r="D506" s="147" t="s">
        <v>158</v>
      </c>
      <c r="E506" s="147" t="s">
        <v>99</v>
      </c>
      <c r="F506" s="148" t="s">
        <v>604</v>
      </c>
      <c r="G506" s="147" t="s">
        <v>139</v>
      </c>
      <c r="H506" s="149">
        <v>125.02</v>
      </c>
      <c r="I506" s="150">
        <v>2</v>
      </c>
      <c r="J506" s="150">
        <v>9</v>
      </c>
      <c r="K506" s="150">
        <v>261</v>
      </c>
      <c r="L506" s="149">
        <v>250.04</v>
      </c>
    </row>
    <row r="507" spans="1:12">
      <c r="A507" s="147" t="s">
        <v>593</v>
      </c>
      <c r="B507" s="147">
        <v>10211316</v>
      </c>
      <c r="C507" s="147" t="s">
        <v>138</v>
      </c>
      <c r="D507" s="147" t="s">
        <v>158</v>
      </c>
      <c r="E507" s="147" t="s">
        <v>99</v>
      </c>
      <c r="F507" s="148" t="s">
        <v>605</v>
      </c>
      <c r="G507" s="147" t="s">
        <v>139</v>
      </c>
      <c r="H507" s="149">
        <v>125.02</v>
      </c>
      <c r="I507" s="150">
        <v>2</v>
      </c>
      <c r="J507" s="150">
        <v>9</v>
      </c>
      <c r="K507" s="150">
        <v>418</v>
      </c>
      <c r="L507" s="149">
        <v>250.04</v>
      </c>
    </row>
    <row r="508" spans="1:12">
      <c r="A508" s="147" t="s">
        <v>593</v>
      </c>
      <c r="B508" s="147">
        <v>10211316</v>
      </c>
      <c r="C508" s="147" t="s">
        <v>138</v>
      </c>
      <c r="D508" s="147" t="s">
        <v>158</v>
      </c>
      <c r="E508" s="147" t="s">
        <v>99</v>
      </c>
      <c r="F508" s="148" t="s">
        <v>606</v>
      </c>
      <c r="G508" s="147" t="s">
        <v>139</v>
      </c>
      <c r="H508" s="149">
        <v>125.02</v>
      </c>
      <c r="I508" s="150">
        <v>2</v>
      </c>
      <c r="J508" s="150">
        <v>9</v>
      </c>
      <c r="K508" s="150">
        <v>255</v>
      </c>
      <c r="L508" s="149">
        <v>250.04</v>
      </c>
    </row>
    <row r="509" spans="1:12">
      <c r="A509" s="147" t="s">
        <v>593</v>
      </c>
      <c r="B509" s="147">
        <v>10211316</v>
      </c>
      <c r="C509" s="147" t="s">
        <v>138</v>
      </c>
      <c r="D509" s="147" t="s">
        <v>158</v>
      </c>
      <c r="E509" s="147" t="s">
        <v>99</v>
      </c>
      <c r="F509" s="148" t="s">
        <v>607</v>
      </c>
      <c r="G509" s="147" t="s">
        <v>139</v>
      </c>
      <c r="H509" s="149">
        <v>125.02</v>
      </c>
      <c r="I509" s="150">
        <v>2</v>
      </c>
      <c r="J509" s="150">
        <v>9</v>
      </c>
      <c r="K509" s="150">
        <v>398</v>
      </c>
      <c r="L509" s="149">
        <v>250.04</v>
      </c>
    </row>
    <row r="510" spans="1:12">
      <c r="A510" s="147" t="s">
        <v>593</v>
      </c>
      <c r="B510" s="147">
        <v>10211316</v>
      </c>
      <c r="C510" s="147" t="s">
        <v>138</v>
      </c>
      <c r="D510" s="147" t="s">
        <v>158</v>
      </c>
      <c r="E510" s="147" t="s">
        <v>99</v>
      </c>
      <c r="F510" s="148" t="s">
        <v>608</v>
      </c>
      <c r="G510" s="147" t="s">
        <v>139</v>
      </c>
      <c r="H510" s="149">
        <v>125.02</v>
      </c>
      <c r="I510" s="150">
        <v>2</v>
      </c>
      <c r="J510" s="150">
        <v>9</v>
      </c>
      <c r="K510" s="150">
        <v>395</v>
      </c>
      <c r="L510" s="149">
        <v>250.04</v>
      </c>
    </row>
    <row r="511" spans="1:12">
      <c r="A511" s="147" t="s">
        <v>593</v>
      </c>
      <c r="B511" s="147">
        <v>10211316</v>
      </c>
      <c r="C511" s="147" t="s">
        <v>138</v>
      </c>
      <c r="D511" s="147" t="s">
        <v>158</v>
      </c>
      <c r="E511" s="147" t="s">
        <v>99</v>
      </c>
      <c r="F511" s="148" t="s">
        <v>609</v>
      </c>
      <c r="G511" s="147" t="s">
        <v>139</v>
      </c>
      <c r="H511" s="149">
        <v>125.02</v>
      </c>
      <c r="I511" s="150">
        <v>2</v>
      </c>
      <c r="J511" s="150">
        <v>9</v>
      </c>
      <c r="K511" s="150">
        <v>266</v>
      </c>
      <c r="L511" s="149">
        <v>250.04</v>
      </c>
    </row>
    <row r="512" spans="1:12">
      <c r="A512" s="147" t="s">
        <v>593</v>
      </c>
      <c r="B512" s="147">
        <v>10211316</v>
      </c>
      <c r="C512" s="147" t="s">
        <v>138</v>
      </c>
      <c r="D512" s="147" t="s">
        <v>158</v>
      </c>
      <c r="E512" s="147" t="s">
        <v>99</v>
      </c>
      <c r="F512" s="148" t="s">
        <v>610</v>
      </c>
      <c r="G512" s="147" t="s">
        <v>139</v>
      </c>
      <c r="H512" s="149">
        <v>125.02</v>
      </c>
      <c r="I512" s="150">
        <v>2</v>
      </c>
      <c r="J512" s="150">
        <v>9</v>
      </c>
      <c r="K512" s="150">
        <v>138</v>
      </c>
      <c r="L512" s="149">
        <v>250.04</v>
      </c>
    </row>
    <row r="513" spans="1:12">
      <c r="A513" s="147" t="s">
        <v>593</v>
      </c>
      <c r="B513" s="147">
        <v>10211316</v>
      </c>
      <c r="C513" s="147" t="s">
        <v>138</v>
      </c>
      <c r="D513" s="147" t="s">
        <v>158</v>
      </c>
      <c r="E513" s="147" t="s">
        <v>99</v>
      </c>
      <c r="F513" s="148" t="s">
        <v>611</v>
      </c>
      <c r="G513" s="147" t="s">
        <v>139</v>
      </c>
      <c r="H513" s="149">
        <v>125.02</v>
      </c>
      <c r="I513" s="150">
        <v>2</v>
      </c>
      <c r="J513" s="150">
        <v>9</v>
      </c>
      <c r="K513" s="150">
        <v>350</v>
      </c>
      <c r="L513" s="149">
        <v>250.04</v>
      </c>
    </row>
    <row r="514" spans="1:12">
      <c r="A514" s="147" t="s">
        <v>593</v>
      </c>
      <c r="B514" s="147">
        <v>10254159</v>
      </c>
      <c r="C514" s="147" t="s">
        <v>148</v>
      </c>
      <c r="D514" s="147" t="s">
        <v>158</v>
      </c>
      <c r="E514" s="147" t="s">
        <v>99</v>
      </c>
      <c r="F514" s="148" t="s">
        <v>610</v>
      </c>
      <c r="G514" s="147" t="s">
        <v>149</v>
      </c>
      <c r="H514" s="149">
        <v>98.5</v>
      </c>
      <c r="I514" s="150">
        <v>1</v>
      </c>
      <c r="J514" s="150">
        <v>3</v>
      </c>
      <c r="K514" s="150">
        <v>250</v>
      </c>
      <c r="L514" s="149">
        <v>98.5</v>
      </c>
    </row>
    <row r="515" spans="1:12">
      <c r="A515" s="147" t="s">
        <v>612</v>
      </c>
      <c r="B515" s="147">
        <v>10211316</v>
      </c>
      <c r="C515" s="147" t="s">
        <v>138</v>
      </c>
      <c r="D515" s="147" t="s">
        <v>158</v>
      </c>
      <c r="E515" s="147" t="s">
        <v>99</v>
      </c>
      <c r="F515" s="148" t="s">
        <v>613</v>
      </c>
      <c r="G515" s="147" t="s">
        <v>139</v>
      </c>
      <c r="H515" s="149">
        <v>125.02</v>
      </c>
      <c r="I515" s="150">
        <v>2</v>
      </c>
      <c r="J515" s="150">
        <v>9</v>
      </c>
      <c r="K515" s="150">
        <v>738</v>
      </c>
      <c r="L515" s="149">
        <v>250.04</v>
      </c>
    </row>
    <row r="516" spans="1:12">
      <c r="A516" s="147" t="s">
        <v>612</v>
      </c>
      <c r="B516" s="147">
        <v>10211316</v>
      </c>
      <c r="C516" s="147" t="s">
        <v>138</v>
      </c>
      <c r="D516" s="147" t="s">
        <v>158</v>
      </c>
      <c r="E516" s="147" t="s">
        <v>99</v>
      </c>
      <c r="F516" s="148" t="s">
        <v>614</v>
      </c>
      <c r="G516" s="147" t="s">
        <v>139</v>
      </c>
      <c r="H516" s="149">
        <v>125.02</v>
      </c>
      <c r="I516" s="150">
        <v>2</v>
      </c>
      <c r="J516" s="150">
        <v>9</v>
      </c>
      <c r="K516" s="150">
        <v>59</v>
      </c>
      <c r="L516" s="149">
        <v>250.04</v>
      </c>
    </row>
    <row r="517" spans="1:12">
      <c r="A517" s="147" t="s">
        <v>612</v>
      </c>
      <c r="B517" s="147">
        <v>10211316</v>
      </c>
      <c r="C517" s="147" t="s">
        <v>138</v>
      </c>
      <c r="D517" s="147" t="s">
        <v>158</v>
      </c>
      <c r="E517" s="147" t="s">
        <v>99</v>
      </c>
      <c r="F517" s="148" t="s">
        <v>615</v>
      </c>
      <c r="G517" s="147" t="s">
        <v>139</v>
      </c>
      <c r="H517" s="149">
        <v>125.02</v>
      </c>
      <c r="I517" s="150">
        <v>2</v>
      </c>
      <c r="J517" s="150">
        <v>9</v>
      </c>
      <c r="K517" s="150">
        <v>280</v>
      </c>
      <c r="L517" s="149">
        <v>250.04</v>
      </c>
    </row>
    <row r="518" spans="1:12">
      <c r="A518" s="147" t="s">
        <v>612</v>
      </c>
      <c r="B518" s="147">
        <v>10211316</v>
      </c>
      <c r="C518" s="147" t="s">
        <v>138</v>
      </c>
      <c r="D518" s="147" t="s">
        <v>158</v>
      </c>
      <c r="E518" s="147" t="s">
        <v>99</v>
      </c>
      <c r="F518" s="148" t="s">
        <v>616</v>
      </c>
      <c r="G518" s="147" t="s">
        <v>139</v>
      </c>
      <c r="H518" s="149">
        <v>125.02</v>
      </c>
      <c r="I518" s="150">
        <v>2</v>
      </c>
      <c r="J518" s="150">
        <v>9</v>
      </c>
      <c r="K518" s="150">
        <v>288</v>
      </c>
      <c r="L518" s="149">
        <v>250.04</v>
      </c>
    </row>
    <row r="519" spans="1:12">
      <c r="A519" s="147" t="s">
        <v>612</v>
      </c>
      <c r="B519" s="147">
        <v>10211316</v>
      </c>
      <c r="C519" s="147" t="s">
        <v>138</v>
      </c>
      <c r="D519" s="147" t="s">
        <v>158</v>
      </c>
      <c r="E519" s="147" t="s">
        <v>99</v>
      </c>
      <c r="F519" s="148" t="s">
        <v>617</v>
      </c>
      <c r="G519" s="147" t="s">
        <v>139</v>
      </c>
      <c r="H519" s="149">
        <v>125.02</v>
      </c>
      <c r="I519" s="150">
        <v>0</v>
      </c>
      <c r="J519" s="150">
        <v>0</v>
      </c>
      <c r="K519" s="150">
        <v>0</v>
      </c>
      <c r="L519" s="149">
        <v>0</v>
      </c>
    </row>
    <row r="520" spans="1:12">
      <c r="A520" s="147" t="s">
        <v>612</v>
      </c>
      <c r="B520" s="147">
        <v>10211316</v>
      </c>
      <c r="C520" s="147" t="s">
        <v>138</v>
      </c>
      <c r="D520" s="147" t="s">
        <v>158</v>
      </c>
      <c r="E520" s="147" t="s">
        <v>99</v>
      </c>
      <c r="F520" s="148" t="s">
        <v>618</v>
      </c>
      <c r="G520" s="147" t="s">
        <v>139</v>
      </c>
      <c r="H520" s="149">
        <v>125.02</v>
      </c>
      <c r="I520" s="150">
        <v>2</v>
      </c>
      <c r="J520" s="150">
        <v>9</v>
      </c>
      <c r="K520" s="150">
        <v>529</v>
      </c>
      <c r="L520" s="149">
        <v>250.04</v>
      </c>
    </row>
    <row r="521" spans="1:12">
      <c r="A521" s="147" t="s">
        <v>612</v>
      </c>
      <c r="B521" s="147">
        <v>10211316</v>
      </c>
      <c r="C521" s="147" t="s">
        <v>138</v>
      </c>
      <c r="D521" s="147" t="s">
        <v>158</v>
      </c>
      <c r="E521" s="147" t="s">
        <v>99</v>
      </c>
      <c r="F521" s="148" t="s">
        <v>619</v>
      </c>
      <c r="G521" s="147" t="s">
        <v>139</v>
      </c>
      <c r="H521" s="149">
        <v>125.02</v>
      </c>
      <c r="I521" s="150">
        <v>2</v>
      </c>
      <c r="J521" s="150">
        <v>9</v>
      </c>
      <c r="K521" s="150">
        <v>311</v>
      </c>
      <c r="L521" s="149">
        <v>250.04</v>
      </c>
    </row>
    <row r="522" spans="1:12">
      <c r="A522" s="147" t="s">
        <v>612</v>
      </c>
      <c r="B522" s="147">
        <v>10211316</v>
      </c>
      <c r="C522" s="147" t="s">
        <v>138</v>
      </c>
      <c r="D522" s="147" t="s">
        <v>158</v>
      </c>
      <c r="E522" s="147" t="s">
        <v>99</v>
      </c>
      <c r="F522" s="148" t="s">
        <v>620</v>
      </c>
      <c r="G522" s="147" t="s">
        <v>139</v>
      </c>
      <c r="H522" s="149">
        <v>125.02</v>
      </c>
      <c r="I522" s="150">
        <v>2</v>
      </c>
      <c r="J522" s="150">
        <v>9</v>
      </c>
      <c r="K522" s="150">
        <v>340</v>
      </c>
      <c r="L522" s="149">
        <v>250.04</v>
      </c>
    </row>
    <row r="523" spans="1:12">
      <c r="A523" s="147" t="s">
        <v>612</v>
      </c>
      <c r="B523" s="147">
        <v>10211316</v>
      </c>
      <c r="C523" s="147" t="s">
        <v>138</v>
      </c>
      <c r="D523" s="147" t="s">
        <v>158</v>
      </c>
      <c r="E523" s="147" t="s">
        <v>99</v>
      </c>
      <c r="F523" s="148" t="s">
        <v>621</v>
      </c>
      <c r="G523" s="147" t="s">
        <v>139</v>
      </c>
      <c r="H523" s="149">
        <v>125.02</v>
      </c>
      <c r="I523" s="150">
        <v>2</v>
      </c>
      <c r="J523" s="150">
        <v>9</v>
      </c>
      <c r="K523" s="150">
        <v>719</v>
      </c>
      <c r="L523" s="149">
        <v>250.04</v>
      </c>
    </row>
    <row r="524" spans="1:12">
      <c r="A524" s="147" t="s">
        <v>612</v>
      </c>
      <c r="B524" s="147">
        <v>10211316</v>
      </c>
      <c r="C524" s="147" t="s">
        <v>138</v>
      </c>
      <c r="D524" s="147" t="s">
        <v>158</v>
      </c>
      <c r="E524" s="147" t="s">
        <v>99</v>
      </c>
      <c r="F524" s="148" t="s">
        <v>622</v>
      </c>
      <c r="G524" s="147" t="s">
        <v>139</v>
      </c>
      <c r="H524" s="149">
        <v>125.02</v>
      </c>
      <c r="I524" s="150">
        <v>2</v>
      </c>
      <c r="J524" s="150">
        <v>9</v>
      </c>
      <c r="K524" s="150">
        <v>99</v>
      </c>
      <c r="L524" s="149">
        <v>250.04</v>
      </c>
    </row>
    <row r="525" spans="1:12">
      <c r="A525" s="147" t="s">
        <v>612</v>
      </c>
      <c r="B525" s="147">
        <v>10211316</v>
      </c>
      <c r="C525" s="147" t="s">
        <v>138</v>
      </c>
      <c r="D525" s="147" t="s">
        <v>158</v>
      </c>
      <c r="E525" s="147" t="s">
        <v>99</v>
      </c>
      <c r="F525" s="148" t="s">
        <v>623</v>
      </c>
      <c r="G525" s="147" t="s">
        <v>139</v>
      </c>
      <c r="H525" s="149">
        <v>125.02</v>
      </c>
      <c r="I525" s="150">
        <v>2</v>
      </c>
      <c r="J525" s="150">
        <v>9</v>
      </c>
      <c r="K525" s="150">
        <v>698</v>
      </c>
      <c r="L525" s="149">
        <v>250.04</v>
      </c>
    </row>
    <row r="526" spans="1:12">
      <c r="A526" s="147" t="s">
        <v>612</v>
      </c>
      <c r="B526" s="147">
        <v>10211316</v>
      </c>
      <c r="C526" s="147" t="s">
        <v>138</v>
      </c>
      <c r="D526" s="147" t="s">
        <v>158</v>
      </c>
      <c r="E526" s="147" t="s">
        <v>99</v>
      </c>
      <c r="F526" s="148" t="s">
        <v>624</v>
      </c>
      <c r="G526" s="147" t="s">
        <v>139</v>
      </c>
      <c r="H526" s="149">
        <v>125.02</v>
      </c>
      <c r="I526" s="150">
        <v>2</v>
      </c>
      <c r="J526" s="150">
        <v>9</v>
      </c>
      <c r="K526" s="150">
        <v>500</v>
      </c>
      <c r="L526" s="149">
        <v>250.04</v>
      </c>
    </row>
    <row r="527" spans="1:12">
      <c r="A527" s="147" t="s">
        <v>612</v>
      </c>
      <c r="B527" s="147">
        <v>10211316</v>
      </c>
      <c r="C527" s="147" t="s">
        <v>138</v>
      </c>
      <c r="D527" s="147" t="s">
        <v>158</v>
      </c>
      <c r="E527" s="147" t="s">
        <v>99</v>
      </c>
      <c r="F527" s="148" t="s">
        <v>625</v>
      </c>
      <c r="G527" s="147" t="s">
        <v>139</v>
      </c>
      <c r="H527" s="149">
        <v>125.02</v>
      </c>
      <c r="I527" s="150">
        <v>2</v>
      </c>
      <c r="J527" s="150">
        <v>9</v>
      </c>
      <c r="K527" s="150">
        <v>74</v>
      </c>
      <c r="L527" s="149">
        <v>250.04</v>
      </c>
    </row>
    <row r="528" spans="1:12">
      <c r="A528" s="147" t="s">
        <v>612</v>
      </c>
      <c r="B528" s="147">
        <v>10211316</v>
      </c>
      <c r="C528" s="147" t="s">
        <v>138</v>
      </c>
      <c r="D528" s="147" t="s">
        <v>158</v>
      </c>
      <c r="E528" s="147" t="s">
        <v>99</v>
      </c>
      <c r="F528" s="148" t="s">
        <v>626</v>
      </c>
      <c r="G528" s="147" t="s">
        <v>139</v>
      </c>
      <c r="H528" s="149">
        <v>125.02</v>
      </c>
      <c r="I528" s="150">
        <v>2</v>
      </c>
      <c r="J528" s="150">
        <v>9</v>
      </c>
      <c r="K528" s="150">
        <v>798</v>
      </c>
      <c r="L528" s="149">
        <v>250.04</v>
      </c>
    </row>
    <row r="529" spans="1:12">
      <c r="A529" s="147" t="s">
        <v>612</v>
      </c>
      <c r="B529" s="147">
        <v>10211316</v>
      </c>
      <c r="C529" s="147" t="s">
        <v>138</v>
      </c>
      <c r="D529" s="147" t="s">
        <v>158</v>
      </c>
      <c r="E529" s="147" t="s">
        <v>99</v>
      </c>
      <c r="F529" s="148" t="s">
        <v>627</v>
      </c>
      <c r="G529" s="147" t="s">
        <v>139</v>
      </c>
      <c r="H529" s="149">
        <v>125.02</v>
      </c>
      <c r="I529" s="150">
        <v>2</v>
      </c>
      <c r="J529" s="150">
        <v>9</v>
      </c>
      <c r="K529" s="150">
        <v>328</v>
      </c>
      <c r="L529" s="149">
        <v>250.04</v>
      </c>
    </row>
    <row r="530" spans="1:12">
      <c r="A530" s="147" t="s">
        <v>612</v>
      </c>
      <c r="B530" s="147">
        <v>10211316</v>
      </c>
      <c r="C530" s="147" t="s">
        <v>138</v>
      </c>
      <c r="D530" s="147" t="s">
        <v>158</v>
      </c>
      <c r="E530" s="147" t="s">
        <v>99</v>
      </c>
      <c r="F530" s="148" t="s">
        <v>628</v>
      </c>
      <c r="G530" s="147" t="s">
        <v>139</v>
      </c>
      <c r="H530" s="149">
        <v>125.02</v>
      </c>
      <c r="I530" s="150">
        <v>2</v>
      </c>
      <c r="J530" s="150">
        <v>9</v>
      </c>
      <c r="K530" s="150">
        <v>618</v>
      </c>
      <c r="L530" s="149">
        <v>250.04</v>
      </c>
    </row>
    <row r="531" spans="1:12">
      <c r="A531" s="147" t="s">
        <v>612</v>
      </c>
      <c r="B531" s="147">
        <v>10211316</v>
      </c>
      <c r="C531" s="147" t="s">
        <v>138</v>
      </c>
      <c r="D531" s="147" t="s">
        <v>158</v>
      </c>
      <c r="E531" s="147" t="s">
        <v>99</v>
      </c>
      <c r="F531" s="148" t="s">
        <v>629</v>
      </c>
      <c r="G531" s="147" t="s">
        <v>139</v>
      </c>
      <c r="H531" s="149">
        <v>125.02</v>
      </c>
      <c r="I531" s="150">
        <v>2</v>
      </c>
      <c r="J531" s="150">
        <v>9</v>
      </c>
      <c r="K531" s="150">
        <v>259</v>
      </c>
      <c r="L531" s="149">
        <v>250.04</v>
      </c>
    </row>
    <row r="532" spans="1:12">
      <c r="A532" s="147" t="s">
        <v>612</v>
      </c>
      <c r="B532" s="147">
        <v>10211316</v>
      </c>
      <c r="C532" s="147" t="s">
        <v>138</v>
      </c>
      <c r="D532" s="147" t="s">
        <v>158</v>
      </c>
      <c r="E532" s="147" t="s">
        <v>99</v>
      </c>
      <c r="F532" s="148" t="s">
        <v>630</v>
      </c>
      <c r="G532" s="147" t="s">
        <v>139</v>
      </c>
      <c r="H532" s="149">
        <v>125.02</v>
      </c>
      <c r="I532" s="150">
        <v>2</v>
      </c>
      <c r="J532" s="150">
        <v>9</v>
      </c>
      <c r="K532" s="150">
        <v>577</v>
      </c>
      <c r="L532" s="149">
        <v>250.04</v>
      </c>
    </row>
    <row r="533" spans="1:12">
      <c r="A533" s="147" t="s">
        <v>612</v>
      </c>
      <c r="B533" s="147">
        <v>10211316</v>
      </c>
      <c r="C533" s="147" t="s">
        <v>138</v>
      </c>
      <c r="D533" s="147" t="s">
        <v>158</v>
      </c>
      <c r="E533" s="147" t="s">
        <v>99</v>
      </c>
      <c r="F533" s="148" t="s">
        <v>631</v>
      </c>
      <c r="G533" s="147" t="s">
        <v>139</v>
      </c>
      <c r="H533" s="149">
        <v>125.02</v>
      </c>
      <c r="I533" s="150">
        <v>2</v>
      </c>
      <c r="J533" s="150">
        <v>9</v>
      </c>
      <c r="K533" s="150">
        <v>261</v>
      </c>
      <c r="L533" s="149">
        <v>250.04</v>
      </c>
    </row>
    <row r="534" spans="1:12">
      <c r="A534" s="147" t="s">
        <v>612</v>
      </c>
      <c r="B534" s="147">
        <v>10211316</v>
      </c>
      <c r="C534" s="147" t="s">
        <v>138</v>
      </c>
      <c r="D534" s="147" t="s">
        <v>158</v>
      </c>
      <c r="E534" s="147" t="s">
        <v>99</v>
      </c>
      <c r="F534" s="148" t="s">
        <v>632</v>
      </c>
      <c r="G534" s="147" t="s">
        <v>139</v>
      </c>
      <c r="H534" s="149">
        <v>125.02</v>
      </c>
      <c r="I534" s="150">
        <v>2</v>
      </c>
      <c r="J534" s="150">
        <v>9</v>
      </c>
      <c r="K534" s="150">
        <v>668</v>
      </c>
      <c r="L534" s="149">
        <v>250.04</v>
      </c>
    </row>
    <row r="535" spans="1:12">
      <c r="A535" s="147" t="s">
        <v>612</v>
      </c>
      <c r="B535" s="147">
        <v>10211316</v>
      </c>
      <c r="C535" s="147" t="s">
        <v>138</v>
      </c>
      <c r="D535" s="147" t="s">
        <v>158</v>
      </c>
      <c r="E535" s="147" t="s">
        <v>99</v>
      </c>
      <c r="F535" s="148" t="s">
        <v>633</v>
      </c>
      <c r="G535" s="147" t="s">
        <v>139</v>
      </c>
      <c r="H535" s="149">
        <v>125.02</v>
      </c>
      <c r="I535" s="150">
        <v>2</v>
      </c>
      <c r="J535" s="150">
        <v>9</v>
      </c>
      <c r="K535" s="150">
        <v>778</v>
      </c>
      <c r="L535" s="149">
        <v>250.04</v>
      </c>
    </row>
    <row r="536" spans="1:12">
      <c r="A536" s="147" t="s">
        <v>612</v>
      </c>
      <c r="B536" s="147">
        <v>10211316</v>
      </c>
      <c r="C536" s="147" t="s">
        <v>138</v>
      </c>
      <c r="D536" s="147" t="s">
        <v>158</v>
      </c>
      <c r="E536" s="147" t="s">
        <v>99</v>
      </c>
      <c r="F536" s="148" t="s">
        <v>634</v>
      </c>
      <c r="G536" s="147" t="s">
        <v>139</v>
      </c>
      <c r="H536" s="149">
        <v>125.02</v>
      </c>
      <c r="I536" s="150">
        <v>0</v>
      </c>
      <c r="J536" s="150">
        <v>0</v>
      </c>
      <c r="K536" s="150">
        <v>0</v>
      </c>
      <c r="L536" s="149">
        <v>0</v>
      </c>
    </row>
    <row r="537" spans="1:12">
      <c r="A537" s="147" t="s">
        <v>612</v>
      </c>
      <c r="B537" s="147">
        <v>10211316</v>
      </c>
      <c r="C537" s="147" t="s">
        <v>138</v>
      </c>
      <c r="D537" s="147" t="s">
        <v>158</v>
      </c>
      <c r="E537" s="147" t="s">
        <v>99</v>
      </c>
      <c r="F537" s="148" t="s">
        <v>635</v>
      </c>
      <c r="G537" s="147" t="s">
        <v>139</v>
      </c>
      <c r="H537" s="149">
        <v>125.02</v>
      </c>
      <c r="I537" s="150">
        <v>2</v>
      </c>
      <c r="J537" s="150">
        <v>9</v>
      </c>
      <c r="K537" s="150">
        <v>878</v>
      </c>
      <c r="L537" s="149">
        <v>250.04</v>
      </c>
    </row>
    <row r="538" spans="1:12">
      <c r="A538" s="147" t="s">
        <v>612</v>
      </c>
      <c r="B538" s="147">
        <v>10211316</v>
      </c>
      <c r="C538" s="147" t="s">
        <v>138</v>
      </c>
      <c r="D538" s="147" t="s">
        <v>158</v>
      </c>
      <c r="E538" s="147" t="s">
        <v>99</v>
      </c>
      <c r="F538" s="148" t="s">
        <v>636</v>
      </c>
      <c r="G538" s="147" t="s">
        <v>139</v>
      </c>
      <c r="H538" s="149">
        <v>125.02</v>
      </c>
      <c r="I538" s="150">
        <v>2</v>
      </c>
      <c r="J538" s="150">
        <v>9</v>
      </c>
      <c r="K538" s="150">
        <v>1068</v>
      </c>
      <c r="L538" s="149">
        <v>250.04</v>
      </c>
    </row>
    <row r="539" spans="1:12">
      <c r="A539" s="147" t="s">
        <v>612</v>
      </c>
      <c r="B539" s="147">
        <v>10211316</v>
      </c>
      <c r="C539" s="147" t="s">
        <v>138</v>
      </c>
      <c r="D539" s="147" t="s">
        <v>158</v>
      </c>
      <c r="E539" s="147" t="s">
        <v>99</v>
      </c>
      <c r="F539" s="148" t="s">
        <v>637</v>
      </c>
      <c r="G539" s="147" t="s">
        <v>139</v>
      </c>
      <c r="H539" s="149">
        <v>125.02</v>
      </c>
      <c r="I539" s="150">
        <v>2</v>
      </c>
      <c r="J539" s="150">
        <v>9</v>
      </c>
      <c r="K539" s="150">
        <v>578</v>
      </c>
      <c r="L539" s="149">
        <v>250.04</v>
      </c>
    </row>
    <row r="540" spans="1:12">
      <c r="A540" s="147" t="s">
        <v>612</v>
      </c>
      <c r="B540" s="147">
        <v>10211316</v>
      </c>
      <c r="C540" s="147" t="s">
        <v>138</v>
      </c>
      <c r="D540" s="147" t="s">
        <v>158</v>
      </c>
      <c r="E540" s="147" t="s">
        <v>99</v>
      </c>
      <c r="F540" s="148" t="s">
        <v>638</v>
      </c>
      <c r="G540" s="147" t="s">
        <v>139</v>
      </c>
      <c r="H540" s="149">
        <v>125.02</v>
      </c>
      <c r="I540" s="150">
        <v>2</v>
      </c>
      <c r="J540" s="150">
        <v>9</v>
      </c>
      <c r="K540" s="150">
        <v>968</v>
      </c>
      <c r="L540" s="149">
        <v>250.04</v>
      </c>
    </row>
    <row r="541" spans="1:12">
      <c r="L541" s="149"/>
    </row>
    <row r="542" spans="1:12">
      <c r="L542" s="149"/>
    </row>
    <row r="543" spans="1:12">
      <c r="L543" s="149"/>
    </row>
    <row r="544" spans="1:12">
      <c r="L544" s="149"/>
    </row>
    <row r="545" spans="12:12">
      <c r="L545" s="149"/>
    </row>
    <row r="546" spans="12:12">
      <c r="L546" s="149"/>
    </row>
    <row r="547" spans="12:12">
      <c r="L547" s="149"/>
    </row>
    <row r="548" spans="12:12">
      <c r="L548" s="149"/>
    </row>
    <row r="549" spans="12:12">
      <c r="L549" s="149"/>
    </row>
    <row r="550" spans="12:12">
      <c r="L550" s="149"/>
    </row>
    <row r="551" spans="12:12">
      <c r="L551" s="149"/>
    </row>
    <row r="552" spans="12:12">
      <c r="L552" s="149"/>
    </row>
    <row r="553" spans="12:12">
      <c r="L553" s="149"/>
    </row>
    <row r="554" spans="12:12">
      <c r="L554" s="149"/>
    </row>
    <row r="555" spans="12:12">
      <c r="L555" s="149"/>
    </row>
    <row r="556" spans="12:12">
      <c r="L556" s="149"/>
    </row>
    <row r="557" spans="12:12">
      <c r="L557" s="149"/>
    </row>
    <row r="558" spans="12:12">
      <c r="L558" s="149"/>
    </row>
    <row r="559" spans="12:12">
      <c r="L559" s="149"/>
    </row>
    <row r="560" spans="12:12">
      <c r="L560" s="149"/>
    </row>
    <row r="561" spans="12:12">
      <c r="L561" s="149"/>
    </row>
    <row r="562" spans="12:12">
      <c r="L562" s="149"/>
    </row>
    <row r="563" spans="12:12">
      <c r="L563" s="149"/>
    </row>
    <row r="564" spans="12:12">
      <c r="L564" s="149"/>
    </row>
    <row r="565" spans="12:12">
      <c r="L565" s="149"/>
    </row>
    <row r="566" spans="12:12">
      <c r="L566" s="149"/>
    </row>
    <row r="567" spans="12:12">
      <c r="L567" s="149"/>
    </row>
    <row r="568" spans="12:12">
      <c r="L568" s="149"/>
    </row>
    <row r="569" spans="12:12">
      <c r="L569" s="149"/>
    </row>
    <row r="570" spans="12:12">
      <c r="L570" s="149"/>
    </row>
    <row r="571" spans="12:12">
      <c r="L571" s="149"/>
    </row>
    <row r="572" spans="12:12">
      <c r="L572" s="149"/>
    </row>
    <row r="573" spans="12:12">
      <c r="L573" s="149"/>
    </row>
    <row r="574" spans="12:12">
      <c r="L574" s="149"/>
    </row>
    <row r="575" spans="12:12">
      <c r="L575" s="149"/>
    </row>
    <row r="576" spans="12:12">
      <c r="L576" s="149"/>
    </row>
    <row r="577" spans="12:12">
      <c r="L577" s="149"/>
    </row>
    <row r="578" spans="12:12">
      <c r="L578" s="149"/>
    </row>
    <row r="579" spans="12:12">
      <c r="L579" s="149"/>
    </row>
    <row r="580" spans="12:12">
      <c r="L580" s="149"/>
    </row>
    <row r="581" spans="12:12">
      <c r="L581" s="149"/>
    </row>
    <row r="582" spans="12:12">
      <c r="L582" s="149"/>
    </row>
    <row r="583" spans="12:12">
      <c r="L583" s="149"/>
    </row>
    <row r="584" spans="12:12">
      <c r="L584" s="149"/>
    </row>
    <row r="585" spans="12:12">
      <c r="L585" s="149"/>
    </row>
    <row r="586" spans="12:12">
      <c r="L586" s="149"/>
    </row>
    <row r="587" spans="12:12">
      <c r="L587" s="149"/>
    </row>
    <row r="588" spans="12:12">
      <c r="L588" s="149"/>
    </row>
    <row r="589" spans="12:12">
      <c r="L589" s="149"/>
    </row>
    <row r="590" spans="12:12">
      <c r="L590" s="149"/>
    </row>
    <row r="591" spans="12:12">
      <c r="L591" s="149"/>
    </row>
    <row r="592" spans="12:12">
      <c r="L592" s="149"/>
    </row>
    <row r="593" spans="12:12">
      <c r="L593" s="149"/>
    </row>
    <row r="594" spans="12:12">
      <c r="L594" s="149"/>
    </row>
    <row r="595" spans="12:12">
      <c r="L595" s="149"/>
    </row>
    <row r="596" spans="12:12">
      <c r="L596" s="149"/>
    </row>
    <row r="597" spans="12:12">
      <c r="L597" s="149"/>
    </row>
    <row r="598" spans="12:12">
      <c r="L598" s="149"/>
    </row>
    <row r="599" spans="12:12">
      <c r="L599" s="149"/>
    </row>
    <row r="600" spans="12:12">
      <c r="L600" s="149"/>
    </row>
    <row r="601" spans="12:12">
      <c r="L601" s="149"/>
    </row>
    <row r="602" spans="12:12">
      <c r="L602" s="149"/>
    </row>
    <row r="603" spans="12:12">
      <c r="L603" s="149"/>
    </row>
    <row r="604" spans="12:12">
      <c r="L604" s="149"/>
    </row>
    <row r="605" spans="12:12">
      <c r="L605" s="149"/>
    </row>
    <row r="606" spans="12:12">
      <c r="L606" s="149"/>
    </row>
    <row r="607" spans="12:12">
      <c r="L607" s="149"/>
    </row>
    <row r="608" spans="12:12">
      <c r="L608" s="149"/>
    </row>
    <row r="609" spans="12:12">
      <c r="L609" s="149"/>
    </row>
    <row r="610" spans="12:12">
      <c r="L610" s="149"/>
    </row>
    <row r="611" spans="12:12">
      <c r="L611" s="149"/>
    </row>
    <row r="612" spans="12:12">
      <c r="L612" s="149"/>
    </row>
    <row r="613" spans="12:12">
      <c r="L613" s="149"/>
    </row>
    <row r="614" spans="12:12">
      <c r="L614" s="149"/>
    </row>
    <row r="615" spans="12:12">
      <c r="L615" s="149"/>
    </row>
    <row r="616" spans="12:12">
      <c r="L616" s="149"/>
    </row>
    <row r="617" spans="12:12">
      <c r="L617" s="149"/>
    </row>
    <row r="618" spans="12:12">
      <c r="L618" s="149"/>
    </row>
    <row r="619" spans="12:12">
      <c r="L619" s="149"/>
    </row>
    <row r="620" spans="12:12">
      <c r="L620" s="149"/>
    </row>
    <row r="621" spans="12:12">
      <c r="L621" s="149"/>
    </row>
    <row r="622" spans="12:12">
      <c r="L622" s="149"/>
    </row>
    <row r="623" spans="12:12">
      <c r="L623" s="149"/>
    </row>
    <row r="624" spans="12:12">
      <c r="L624" s="149"/>
    </row>
    <row r="625" spans="12:12">
      <c r="L625" s="149"/>
    </row>
    <row r="626" spans="12:12">
      <c r="L626" s="149"/>
    </row>
    <row r="627" spans="12:12">
      <c r="L627" s="149"/>
    </row>
    <row r="628" spans="12:12">
      <c r="L628" s="149"/>
    </row>
    <row r="629" spans="12:12">
      <c r="L629" s="149"/>
    </row>
    <row r="630" spans="12:12">
      <c r="L630" s="149"/>
    </row>
    <row r="631" spans="12:12">
      <c r="L631" s="149"/>
    </row>
    <row r="632" spans="12:12">
      <c r="L632" s="149"/>
    </row>
    <row r="633" spans="12:12">
      <c r="L633" s="149"/>
    </row>
    <row r="634" spans="12:12">
      <c r="L634" s="149"/>
    </row>
    <row r="635" spans="12:12">
      <c r="L635" s="149"/>
    </row>
    <row r="636" spans="12:12">
      <c r="L636" s="149"/>
    </row>
    <row r="637" spans="12:12">
      <c r="L637" s="149"/>
    </row>
    <row r="638" spans="12:12">
      <c r="L638" s="149"/>
    </row>
    <row r="639" spans="12:12">
      <c r="L639" s="149"/>
    </row>
    <row r="640" spans="12:12">
      <c r="L640" s="149"/>
    </row>
    <row r="641" spans="12:12">
      <c r="L641" s="149"/>
    </row>
    <row r="642" spans="12:12">
      <c r="L642" s="149"/>
    </row>
    <row r="643" spans="12:12">
      <c r="L643" s="149"/>
    </row>
    <row r="644" spans="12:12">
      <c r="L644" s="149"/>
    </row>
    <row r="645" spans="12:12">
      <c r="L645" s="149"/>
    </row>
    <row r="646" spans="12:12">
      <c r="L646" s="149"/>
    </row>
    <row r="647" spans="12:12">
      <c r="L647" s="149"/>
    </row>
    <row r="648" spans="12:12">
      <c r="L648" s="149"/>
    </row>
    <row r="649" spans="12:12">
      <c r="L649" s="149"/>
    </row>
    <row r="650" spans="12:12">
      <c r="L650" s="149"/>
    </row>
    <row r="651" spans="12:12">
      <c r="L651" s="149"/>
    </row>
    <row r="652" spans="12:12">
      <c r="L652" s="149"/>
    </row>
    <row r="653" spans="12:12">
      <c r="L653" s="149"/>
    </row>
    <row r="654" spans="12:12">
      <c r="L654" s="149"/>
    </row>
    <row r="655" spans="12:12">
      <c r="L655" s="149"/>
    </row>
    <row r="656" spans="12:12">
      <c r="L656" s="149"/>
    </row>
    <row r="657" spans="12:12">
      <c r="L657" s="149"/>
    </row>
    <row r="658" spans="12:12">
      <c r="L658" s="149"/>
    </row>
    <row r="659" spans="12:12">
      <c r="L659" s="149"/>
    </row>
    <row r="660" spans="12:12">
      <c r="L660" s="149"/>
    </row>
    <row r="661" spans="12:12">
      <c r="L661" s="149"/>
    </row>
    <row r="662" spans="12:12">
      <c r="L662" s="149"/>
    </row>
    <row r="663" spans="12:12">
      <c r="L663" s="149"/>
    </row>
    <row r="664" spans="12:12">
      <c r="L664" s="149"/>
    </row>
    <row r="665" spans="12:12">
      <c r="L665" s="149"/>
    </row>
    <row r="666" spans="12:12">
      <c r="L666" s="149"/>
    </row>
    <row r="667" spans="12:12">
      <c r="L667" s="149"/>
    </row>
    <row r="668" spans="12:12">
      <c r="L668" s="149"/>
    </row>
    <row r="669" spans="12:12">
      <c r="L669" s="149"/>
    </row>
    <row r="670" spans="12:12">
      <c r="L670" s="149"/>
    </row>
    <row r="671" spans="12:12">
      <c r="L671" s="149"/>
    </row>
    <row r="672" spans="12:12">
      <c r="L672" s="149"/>
    </row>
    <row r="673" spans="12:12">
      <c r="L673" s="149"/>
    </row>
    <row r="674" spans="12:12">
      <c r="L674" s="149"/>
    </row>
    <row r="675" spans="12:12">
      <c r="L675" s="149"/>
    </row>
    <row r="676" spans="12:12">
      <c r="L676" s="149"/>
    </row>
    <row r="677" spans="12:12">
      <c r="L677" s="149"/>
    </row>
    <row r="678" spans="12:12">
      <c r="L678" s="149"/>
    </row>
    <row r="679" spans="12:12">
      <c r="L679" s="149"/>
    </row>
    <row r="680" spans="12:12">
      <c r="L680" s="149"/>
    </row>
    <row r="681" spans="12:12">
      <c r="L681" s="149"/>
    </row>
    <row r="682" spans="12:12">
      <c r="L682" s="149"/>
    </row>
    <row r="683" spans="12:12">
      <c r="L683" s="149"/>
    </row>
    <row r="684" spans="12:12">
      <c r="L684" s="149"/>
    </row>
    <row r="685" spans="12:12">
      <c r="L685" s="149"/>
    </row>
    <row r="686" spans="12:12">
      <c r="L686" s="149"/>
    </row>
    <row r="687" spans="12:12">
      <c r="L687" s="149"/>
    </row>
    <row r="688" spans="12:12">
      <c r="L688" s="149"/>
    </row>
    <row r="689" spans="12:12">
      <c r="L689" s="149"/>
    </row>
    <row r="690" spans="12:12">
      <c r="L690" s="149"/>
    </row>
    <row r="691" spans="12:12">
      <c r="L691" s="149"/>
    </row>
    <row r="692" spans="12:12">
      <c r="L692" s="149"/>
    </row>
    <row r="693" spans="12:12">
      <c r="L693" s="149"/>
    </row>
    <row r="694" spans="12:12">
      <c r="L694" s="149"/>
    </row>
    <row r="695" spans="12:12">
      <c r="L695" s="149"/>
    </row>
    <row r="696" spans="12:12">
      <c r="L696" s="149"/>
    </row>
    <row r="697" spans="12:12">
      <c r="L697" s="149"/>
    </row>
    <row r="698" spans="12:12">
      <c r="L698" s="149"/>
    </row>
    <row r="699" spans="12:12">
      <c r="L699" s="149"/>
    </row>
    <row r="700" spans="12:12">
      <c r="L700" s="149"/>
    </row>
    <row r="701" spans="12:12">
      <c r="L701" s="149"/>
    </row>
    <row r="702" spans="12:12">
      <c r="L702" s="149"/>
    </row>
    <row r="703" spans="12:12">
      <c r="L703" s="149"/>
    </row>
    <row r="704" spans="12:12">
      <c r="L704" s="149"/>
    </row>
    <row r="705" spans="12:12">
      <c r="L705" s="149"/>
    </row>
    <row r="706" spans="12:12">
      <c r="L706" s="149"/>
    </row>
    <row r="707" spans="12:12">
      <c r="L707" s="149"/>
    </row>
    <row r="708" spans="12:12">
      <c r="L708" s="149"/>
    </row>
    <row r="709" spans="12:12">
      <c r="L709" s="149"/>
    </row>
    <row r="710" spans="12:12">
      <c r="L710" s="149"/>
    </row>
    <row r="711" spans="12:12">
      <c r="L711" s="149"/>
    </row>
    <row r="712" spans="12:12">
      <c r="L712" s="149"/>
    </row>
    <row r="713" spans="12:12">
      <c r="L713" s="149"/>
    </row>
    <row r="714" spans="12:12">
      <c r="L714" s="149"/>
    </row>
    <row r="715" spans="12:12">
      <c r="L715" s="149"/>
    </row>
    <row r="716" spans="12:12">
      <c r="L716" s="149"/>
    </row>
    <row r="717" spans="12:12">
      <c r="L717" s="149"/>
    </row>
    <row r="718" spans="12:12">
      <c r="L718" s="149"/>
    </row>
    <row r="719" spans="12:12">
      <c r="L719" s="149"/>
    </row>
    <row r="720" spans="12:12">
      <c r="L720" s="149"/>
    </row>
    <row r="721" spans="12:12">
      <c r="L721" s="149"/>
    </row>
    <row r="722" spans="12:12">
      <c r="L722" s="149"/>
    </row>
    <row r="723" spans="12:12">
      <c r="L723" s="149"/>
    </row>
    <row r="724" spans="12:12">
      <c r="L724" s="149"/>
    </row>
    <row r="725" spans="12:12">
      <c r="L725" s="149"/>
    </row>
    <row r="726" spans="12:12">
      <c r="L726" s="149"/>
    </row>
    <row r="727" spans="12:12">
      <c r="L727" s="149"/>
    </row>
    <row r="728" spans="12:12">
      <c r="L728" s="149"/>
    </row>
    <row r="729" spans="12:12">
      <c r="L729" s="149"/>
    </row>
    <row r="730" spans="12:12">
      <c r="L730" s="149"/>
    </row>
    <row r="731" spans="12:12">
      <c r="L731" s="149"/>
    </row>
    <row r="732" spans="12:12">
      <c r="L732" s="149"/>
    </row>
    <row r="733" spans="12:12">
      <c r="L733" s="149"/>
    </row>
    <row r="734" spans="12:12">
      <c r="L734" s="149"/>
    </row>
    <row r="735" spans="12:12">
      <c r="L735" s="149"/>
    </row>
    <row r="736" spans="12:12">
      <c r="L736" s="149"/>
    </row>
    <row r="737" spans="12:12">
      <c r="L737" s="149"/>
    </row>
    <row r="738" spans="12:12">
      <c r="L738" s="149"/>
    </row>
    <row r="739" spans="12:12">
      <c r="L739" s="149"/>
    </row>
    <row r="740" spans="12:12">
      <c r="L740" s="149"/>
    </row>
    <row r="741" spans="12:12">
      <c r="L741" s="149"/>
    </row>
    <row r="742" spans="12:12">
      <c r="L742" s="149"/>
    </row>
    <row r="743" spans="12:12">
      <c r="L743" s="149"/>
    </row>
    <row r="744" spans="12:12">
      <c r="L744" s="149"/>
    </row>
    <row r="745" spans="12:12">
      <c r="L745" s="149"/>
    </row>
    <row r="746" spans="12:12">
      <c r="L746" s="149"/>
    </row>
    <row r="747" spans="12:12">
      <c r="L747" s="149"/>
    </row>
    <row r="748" spans="12:12">
      <c r="L748" s="149"/>
    </row>
    <row r="749" spans="12:12">
      <c r="L749" s="149"/>
    </row>
    <row r="750" spans="12:12">
      <c r="L750" s="149"/>
    </row>
    <row r="751" spans="12:12">
      <c r="L751" s="149"/>
    </row>
    <row r="752" spans="12:12">
      <c r="L752" s="149"/>
    </row>
    <row r="753" spans="12:12">
      <c r="L753" s="149"/>
    </row>
    <row r="754" spans="12:12">
      <c r="L754" s="149"/>
    </row>
    <row r="755" spans="12:12">
      <c r="L755" s="149"/>
    </row>
    <row r="756" spans="12:12">
      <c r="L756" s="149"/>
    </row>
    <row r="757" spans="12:12">
      <c r="L757" s="149"/>
    </row>
    <row r="758" spans="12:12">
      <c r="L758" s="149"/>
    </row>
    <row r="759" spans="12:12">
      <c r="L759" s="149"/>
    </row>
    <row r="760" spans="12:12">
      <c r="L760" s="149"/>
    </row>
    <row r="761" spans="12:12">
      <c r="L761" s="149"/>
    </row>
    <row r="762" spans="12:12">
      <c r="L762" s="149"/>
    </row>
    <row r="763" spans="12:12">
      <c r="L763" s="149"/>
    </row>
    <row r="764" spans="12:12">
      <c r="L764" s="149"/>
    </row>
    <row r="765" spans="12:12">
      <c r="L765" s="149"/>
    </row>
    <row r="766" spans="12:12">
      <c r="L766" s="149"/>
    </row>
    <row r="767" spans="12:12">
      <c r="L767" s="149"/>
    </row>
    <row r="768" spans="12:12">
      <c r="L768" s="149"/>
    </row>
    <row r="769" spans="12:12">
      <c r="L769" s="149"/>
    </row>
    <row r="770" spans="12:12">
      <c r="L770" s="149"/>
    </row>
    <row r="771" spans="12:12">
      <c r="L771" s="149"/>
    </row>
    <row r="772" spans="12:12">
      <c r="L772" s="149"/>
    </row>
    <row r="773" spans="12:12">
      <c r="L773" s="149"/>
    </row>
    <row r="774" spans="12:12">
      <c r="L774" s="149"/>
    </row>
    <row r="775" spans="12:12">
      <c r="L775" s="149"/>
    </row>
    <row r="776" spans="12:12">
      <c r="L776" s="149"/>
    </row>
    <row r="777" spans="12:12">
      <c r="L777" s="149"/>
    </row>
    <row r="778" spans="12:12">
      <c r="L778" s="149"/>
    </row>
    <row r="779" spans="12:12">
      <c r="L779" s="149"/>
    </row>
    <row r="780" spans="12:12">
      <c r="L780" s="149"/>
    </row>
    <row r="781" spans="12:12">
      <c r="L781" s="149"/>
    </row>
    <row r="782" spans="12:12">
      <c r="L782" s="149"/>
    </row>
    <row r="783" spans="12:12">
      <c r="L783" s="149"/>
    </row>
    <row r="784" spans="12:12">
      <c r="L784" s="149"/>
    </row>
    <row r="785" spans="12:12">
      <c r="L785" s="149"/>
    </row>
    <row r="786" spans="12:12">
      <c r="L786" s="149"/>
    </row>
    <row r="787" spans="12:12">
      <c r="L787" s="149"/>
    </row>
    <row r="788" spans="12:12">
      <c r="L788" s="149"/>
    </row>
    <row r="789" spans="12:12">
      <c r="L789" s="149"/>
    </row>
    <row r="790" spans="12:12">
      <c r="L790" s="149"/>
    </row>
    <row r="791" spans="12:12">
      <c r="L791" s="149"/>
    </row>
    <row r="792" spans="12:12">
      <c r="L792" s="149"/>
    </row>
    <row r="793" spans="12:12">
      <c r="L793" s="149"/>
    </row>
    <row r="794" spans="12:12">
      <c r="L794" s="149"/>
    </row>
    <row r="795" spans="12:12">
      <c r="L795" s="149"/>
    </row>
    <row r="796" spans="12:12">
      <c r="L796" s="149"/>
    </row>
    <row r="797" spans="12:12">
      <c r="L797" s="149"/>
    </row>
    <row r="798" spans="12:12">
      <c r="L798" s="149"/>
    </row>
    <row r="799" spans="12:12">
      <c r="L799" s="149"/>
    </row>
    <row r="800" spans="12:12">
      <c r="L800" s="149"/>
    </row>
    <row r="801" spans="12:12">
      <c r="L801" s="149"/>
    </row>
    <row r="802" spans="12:12">
      <c r="L802" s="149"/>
    </row>
    <row r="803" spans="12:12">
      <c r="L803" s="149"/>
    </row>
    <row r="804" spans="12:12">
      <c r="L804" s="149"/>
    </row>
    <row r="805" spans="12:12">
      <c r="L805" s="149"/>
    </row>
    <row r="806" spans="12:12">
      <c r="L806" s="149"/>
    </row>
    <row r="807" spans="12:12">
      <c r="L807" s="149"/>
    </row>
    <row r="808" spans="12:12" ht="13.5" customHeight="1">
      <c r="L808" s="149"/>
    </row>
    <row r="809" spans="12:12">
      <c r="L809" s="149"/>
    </row>
    <row r="810" spans="12:12">
      <c r="L810" s="149"/>
    </row>
    <row r="811" spans="12:12">
      <c r="L811" s="149"/>
    </row>
    <row r="812" spans="12:12">
      <c r="L812" s="149"/>
    </row>
    <row r="813" spans="12:12">
      <c r="L813" s="149"/>
    </row>
    <row r="814" spans="12:12">
      <c r="L814" s="149"/>
    </row>
    <row r="815" spans="12:12">
      <c r="L815" s="149"/>
    </row>
    <row r="816" spans="12:12">
      <c r="L816" s="149"/>
    </row>
    <row r="817" spans="12:12">
      <c r="L817" s="149"/>
    </row>
    <row r="818" spans="12:12">
      <c r="L818" s="149"/>
    </row>
    <row r="819" spans="12:12">
      <c r="L819" s="149"/>
    </row>
    <row r="820" spans="12:12">
      <c r="L820" s="149"/>
    </row>
    <row r="821" spans="12:12">
      <c r="L821" s="149"/>
    </row>
    <row r="822" spans="12:12">
      <c r="L822" s="149"/>
    </row>
    <row r="823" spans="12:12">
      <c r="L823" s="149"/>
    </row>
    <row r="824" spans="12:12">
      <c r="L824" s="149"/>
    </row>
    <row r="825" spans="12:12">
      <c r="L825" s="149"/>
    </row>
    <row r="826" spans="12:12">
      <c r="L826" s="149"/>
    </row>
    <row r="827" spans="12:12">
      <c r="L827" s="149"/>
    </row>
    <row r="828" spans="12:12">
      <c r="L828" s="149"/>
    </row>
    <row r="829" spans="12:12">
      <c r="L829" s="149"/>
    </row>
    <row r="830" spans="12:12">
      <c r="L830" s="149"/>
    </row>
    <row r="831" spans="12:12">
      <c r="L831" s="149"/>
    </row>
    <row r="832" spans="12:12">
      <c r="L832" s="149"/>
    </row>
    <row r="833" spans="12:12">
      <c r="L833" s="149"/>
    </row>
    <row r="834" spans="12:12">
      <c r="L834" s="149"/>
    </row>
    <row r="835" spans="12:12">
      <c r="L835" s="149"/>
    </row>
    <row r="836" spans="12:12">
      <c r="L836" s="149"/>
    </row>
    <row r="837" spans="12:12">
      <c r="L837" s="149"/>
    </row>
    <row r="838" spans="12:12">
      <c r="L838" s="149"/>
    </row>
    <row r="839" spans="12:12">
      <c r="L839" s="149"/>
    </row>
    <row r="840" spans="12:12">
      <c r="L840" s="149"/>
    </row>
    <row r="841" spans="12:12">
      <c r="L841" s="149"/>
    </row>
    <row r="842" spans="12:12">
      <c r="L842" s="149"/>
    </row>
    <row r="843" spans="12:12">
      <c r="L843" s="149"/>
    </row>
    <row r="844" spans="12:12">
      <c r="L844" s="149"/>
    </row>
    <row r="845" spans="12:12">
      <c r="L845" s="149"/>
    </row>
    <row r="846" spans="12:12">
      <c r="L846" s="149"/>
    </row>
    <row r="847" spans="12:12">
      <c r="L847" s="149"/>
    </row>
    <row r="848" spans="12:12">
      <c r="L848" s="149"/>
    </row>
    <row r="849" spans="12:12">
      <c r="L849" s="149"/>
    </row>
    <row r="850" spans="12:12">
      <c r="L850" s="149"/>
    </row>
    <row r="851" spans="12:12">
      <c r="L851" s="149"/>
    </row>
    <row r="852" spans="12:12">
      <c r="L852" s="149"/>
    </row>
    <row r="853" spans="12:12">
      <c r="L853" s="149"/>
    </row>
    <row r="854" spans="12:12">
      <c r="L854" s="149"/>
    </row>
    <row r="855" spans="12:12">
      <c r="L855" s="149"/>
    </row>
    <row r="856" spans="12:12">
      <c r="L856" s="149"/>
    </row>
    <row r="857" spans="12:12">
      <c r="L857" s="149"/>
    </row>
    <row r="858" spans="12:12">
      <c r="L858" s="149"/>
    </row>
    <row r="859" spans="12:12">
      <c r="L859" s="149"/>
    </row>
    <row r="860" spans="12:12">
      <c r="L860" s="149"/>
    </row>
    <row r="861" spans="12:12">
      <c r="L861" s="149"/>
    </row>
    <row r="862" spans="12:12">
      <c r="L862" s="149"/>
    </row>
    <row r="863" spans="12:12">
      <c r="L863" s="149"/>
    </row>
    <row r="864" spans="12:12">
      <c r="L864" s="149"/>
    </row>
    <row r="865" spans="12:12">
      <c r="L865" s="149"/>
    </row>
    <row r="866" spans="12:12">
      <c r="L866" s="149"/>
    </row>
    <row r="867" spans="12:12">
      <c r="L867" s="149"/>
    </row>
    <row r="868" spans="12:12">
      <c r="L868" s="149"/>
    </row>
    <row r="869" spans="12:12">
      <c r="L869" s="149"/>
    </row>
    <row r="870" spans="12:12">
      <c r="L870" s="149"/>
    </row>
    <row r="871" spans="12:12">
      <c r="L871" s="149"/>
    </row>
    <row r="872" spans="12:12">
      <c r="L872" s="149"/>
    </row>
    <row r="873" spans="12:12">
      <c r="L873" s="149"/>
    </row>
    <row r="874" spans="12:12">
      <c r="L874" s="149"/>
    </row>
    <row r="875" spans="12:12">
      <c r="L875" s="149"/>
    </row>
    <row r="876" spans="12:12">
      <c r="L876" s="149"/>
    </row>
    <row r="877" spans="12:12">
      <c r="L877" s="149"/>
    </row>
    <row r="878" spans="12:12">
      <c r="L878" s="149"/>
    </row>
    <row r="879" spans="12:12">
      <c r="L879" s="149"/>
    </row>
    <row r="880" spans="12:12">
      <c r="L880" s="149"/>
    </row>
    <row r="881" spans="12:12">
      <c r="L881" s="149"/>
    </row>
    <row r="882" spans="12:12">
      <c r="L882" s="149"/>
    </row>
    <row r="883" spans="12:12">
      <c r="L883" s="149"/>
    </row>
    <row r="884" spans="12:12">
      <c r="L884" s="149"/>
    </row>
    <row r="885" spans="12:12">
      <c r="L885" s="149"/>
    </row>
    <row r="886" spans="12:12">
      <c r="L886" s="149"/>
    </row>
    <row r="887" spans="12:12">
      <c r="L887" s="149"/>
    </row>
    <row r="888" spans="12:12">
      <c r="L888" s="149"/>
    </row>
    <row r="889" spans="12:12">
      <c r="L889" s="149"/>
    </row>
    <row r="890" spans="12:12">
      <c r="L890" s="149"/>
    </row>
    <row r="891" spans="12:12">
      <c r="L891" s="149"/>
    </row>
    <row r="892" spans="12:12">
      <c r="L892" s="149"/>
    </row>
    <row r="893" spans="12:12">
      <c r="L893" s="149"/>
    </row>
    <row r="894" spans="12:12">
      <c r="L894" s="149"/>
    </row>
    <row r="895" spans="12:12">
      <c r="L895" s="149"/>
    </row>
    <row r="896" spans="12:12">
      <c r="L896" s="149"/>
    </row>
    <row r="897" spans="12:12">
      <c r="L897" s="149"/>
    </row>
    <row r="898" spans="12:12">
      <c r="L898" s="149"/>
    </row>
    <row r="899" spans="12:12">
      <c r="L899" s="149"/>
    </row>
    <row r="900" spans="12:12">
      <c r="L900" s="149"/>
    </row>
    <row r="901" spans="12:12">
      <c r="L901" s="149"/>
    </row>
    <row r="902" spans="12:12">
      <c r="L902" s="149"/>
    </row>
    <row r="903" spans="12:12">
      <c r="L903" s="149"/>
    </row>
    <row r="904" spans="12:12">
      <c r="L904" s="149"/>
    </row>
    <row r="937" spans="12:12">
      <c r="L937" s="149"/>
    </row>
    <row r="938" spans="12:12">
      <c r="L938" s="149"/>
    </row>
    <row r="939" spans="12:12">
      <c r="L939" s="149"/>
    </row>
    <row r="940" spans="12:12">
      <c r="L940" s="149"/>
    </row>
    <row r="941" spans="12:12">
      <c r="L941" s="149"/>
    </row>
    <row r="942" spans="12:12">
      <c r="L942" s="149"/>
    </row>
    <row r="943" spans="12:12">
      <c r="L943" s="149"/>
    </row>
    <row r="944" spans="12:12">
      <c r="L944" s="149"/>
    </row>
    <row r="945" spans="12:12">
      <c r="L945" s="149"/>
    </row>
    <row r="946" spans="12:12">
      <c r="L946" s="149"/>
    </row>
    <row r="947" spans="12:12">
      <c r="L947" s="149"/>
    </row>
    <row r="948" spans="12:12">
      <c r="L948" s="149"/>
    </row>
    <row r="949" spans="12:12">
      <c r="L949" s="149"/>
    </row>
    <row r="950" spans="12:12">
      <c r="L950" s="149"/>
    </row>
    <row r="951" spans="12:12">
      <c r="L951" s="149"/>
    </row>
    <row r="952" spans="12:12">
      <c r="L952" s="149"/>
    </row>
    <row r="953" spans="12:12">
      <c r="L953" s="149"/>
    </row>
    <row r="954" spans="12:12">
      <c r="L954" s="149"/>
    </row>
    <row r="955" spans="12:12">
      <c r="L955" s="149"/>
    </row>
    <row r="956" spans="12:12">
      <c r="L956" s="149"/>
    </row>
    <row r="957" spans="12:12">
      <c r="L957" s="149"/>
    </row>
    <row r="958" spans="12:12">
      <c r="L958" s="149"/>
    </row>
    <row r="959" spans="12:12">
      <c r="L959" s="149"/>
    </row>
    <row r="960" spans="12:12">
      <c r="L960" s="149"/>
    </row>
    <row r="961" spans="12:12">
      <c r="L961" s="149"/>
    </row>
    <row r="962" spans="12:12">
      <c r="L962" s="149"/>
    </row>
    <row r="963" spans="12:12">
      <c r="L963" s="149"/>
    </row>
    <row r="964" spans="12:12">
      <c r="L964" s="149"/>
    </row>
    <row r="965" spans="12:12">
      <c r="L965" s="149"/>
    </row>
    <row r="966" spans="12:12">
      <c r="L966" s="149"/>
    </row>
    <row r="967" spans="12:12">
      <c r="L967" s="149"/>
    </row>
    <row r="968" spans="12:12">
      <c r="L968" s="149"/>
    </row>
    <row r="969" spans="12:12">
      <c r="L969" s="149"/>
    </row>
    <row r="970" spans="12:12">
      <c r="L970" s="149"/>
    </row>
    <row r="971" spans="12:12">
      <c r="L971" s="149"/>
    </row>
    <row r="972" spans="12:12">
      <c r="L972" s="149"/>
    </row>
    <row r="973" spans="12:12">
      <c r="L973" s="149"/>
    </row>
    <row r="974" spans="12:12">
      <c r="L974" s="149"/>
    </row>
    <row r="975" spans="12:12">
      <c r="L975" s="149"/>
    </row>
    <row r="976" spans="12:12">
      <c r="L976" s="149"/>
    </row>
    <row r="977" spans="12:12">
      <c r="L977" s="149"/>
    </row>
    <row r="978" spans="12:12">
      <c r="L978" s="149"/>
    </row>
    <row r="979" spans="12:12">
      <c r="L979" s="149"/>
    </row>
    <row r="980" spans="12:12">
      <c r="L980" s="149"/>
    </row>
    <row r="981" spans="12:12">
      <c r="L981" s="149"/>
    </row>
    <row r="982" spans="12:12">
      <c r="L982" s="149"/>
    </row>
    <row r="983" spans="12:12">
      <c r="L983" s="149"/>
    </row>
    <row r="984" spans="12:12">
      <c r="L984" s="149"/>
    </row>
    <row r="985" spans="12:12">
      <c r="L985" s="149"/>
    </row>
    <row r="986" spans="12:12">
      <c r="L986" s="149"/>
    </row>
    <row r="987" spans="12:12">
      <c r="L987" s="149"/>
    </row>
    <row r="988" spans="12:12">
      <c r="L988" s="149"/>
    </row>
    <row r="989" spans="12:12">
      <c r="L989" s="149"/>
    </row>
    <row r="990" spans="12:12">
      <c r="L990" s="149"/>
    </row>
    <row r="991" spans="12:12">
      <c r="L991" s="149"/>
    </row>
    <row r="992" spans="12:12">
      <c r="L992" s="149"/>
    </row>
    <row r="993" spans="12:12">
      <c r="L993" s="149"/>
    </row>
    <row r="994" spans="12:12">
      <c r="L994" s="149"/>
    </row>
    <row r="995" spans="12:12">
      <c r="L995" s="149"/>
    </row>
    <row r="996" spans="12:12">
      <c r="L996" s="149"/>
    </row>
    <row r="997" spans="12:12">
      <c r="L997" s="149"/>
    </row>
    <row r="998" spans="12:12">
      <c r="L998" s="149"/>
    </row>
    <row r="999" spans="12:12">
      <c r="L999" s="149"/>
    </row>
    <row r="1000" spans="12:12">
      <c r="L1000" s="149"/>
    </row>
    <row r="1001" spans="12:12">
      <c r="L1001" s="149"/>
    </row>
    <row r="1002" spans="12:12">
      <c r="L1002" s="149"/>
    </row>
    <row r="1003" spans="12:12">
      <c r="L1003" s="149"/>
    </row>
    <row r="1004" spans="12:12">
      <c r="L1004" s="149"/>
    </row>
    <row r="1005" spans="12:12">
      <c r="L1005" s="149"/>
    </row>
    <row r="1006" spans="12:12">
      <c r="L1006" s="149"/>
    </row>
    <row r="1007" spans="12:12">
      <c r="L1007" s="149"/>
    </row>
    <row r="1008" spans="12:12">
      <c r="L1008" s="149"/>
    </row>
    <row r="1009" spans="12:12">
      <c r="L1009" s="149"/>
    </row>
    <row r="1010" spans="12:12">
      <c r="L1010" s="149"/>
    </row>
    <row r="1011" spans="12:12">
      <c r="L1011" s="149"/>
    </row>
    <row r="1012" spans="12:12">
      <c r="L1012" s="149"/>
    </row>
    <row r="1013" spans="12:12">
      <c r="L1013" s="149"/>
    </row>
    <row r="1014" spans="12:12">
      <c r="L1014" s="149"/>
    </row>
    <row r="1015" spans="12:12">
      <c r="L1015" s="149"/>
    </row>
    <row r="1016" spans="12:12">
      <c r="L1016" s="149"/>
    </row>
    <row r="1017" spans="12:12">
      <c r="L1017" s="149"/>
    </row>
    <row r="1018" spans="12:12">
      <c r="L1018" s="149"/>
    </row>
    <row r="1019" spans="12:12">
      <c r="L1019" s="149"/>
    </row>
    <row r="1020" spans="12:12">
      <c r="L1020" s="149"/>
    </row>
    <row r="1021" spans="12:12">
      <c r="L1021" s="149"/>
    </row>
    <row r="1022" spans="12:12">
      <c r="L1022" s="149"/>
    </row>
    <row r="1023" spans="12:12">
      <c r="L1023" s="149"/>
    </row>
    <row r="1024" spans="12:12">
      <c r="L1024" s="149"/>
    </row>
    <row r="1025" spans="12:12">
      <c r="L1025" s="149"/>
    </row>
    <row r="1026" spans="12:12">
      <c r="L1026" s="149"/>
    </row>
    <row r="1027" spans="12:12">
      <c r="L1027" s="149"/>
    </row>
    <row r="1028" spans="12:12">
      <c r="L1028" s="149"/>
    </row>
    <row r="1029" spans="12:12">
      <c r="L1029" s="149"/>
    </row>
    <row r="1030" spans="12:12">
      <c r="L1030" s="149"/>
    </row>
    <row r="1031" spans="12:12">
      <c r="L1031" s="149"/>
    </row>
    <row r="1032" spans="12:12">
      <c r="L1032" s="149"/>
    </row>
    <row r="1033" spans="12:12">
      <c r="L1033" s="149"/>
    </row>
    <row r="1034" spans="12:12">
      <c r="L1034" s="149"/>
    </row>
    <row r="1035" spans="12:12">
      <c r="L1035" s="149"/>
    </row>
    <row r="1036" spans="12:12">
      <c r="L1036" s="149"/>
    </row>
    <row r="1037" spans="12:12">
      <c r="L1037" s="149"/>
    </row>
    <row r="1038" spans="12:12">
      <c r="L1038" s="149"/>
    </row>
    <row r="1039" spans="12:12">
      <c r="L1039" s="149"/>
    </row>
    <row r="1040" spans="12:12">
      <c r="L1040" s="149"/>
    </row>
    <row r="1041" spans="12:12">
      <c r="L1041" s="149"/>
    </row>
    <row r="1042" spans="12:12">
      <c r="L1042" s="149"/>
    </row>
    <row r="1043" spans="12:12">
      <c r="L1043" s="149"/>
    </row>
    <row r="1044" spans="12:12">
      <c r="L1044" s="149"/>
    </row>
    <row r="1045" spans="12:12">
      <c r="L1045" s="149"/>
    </row>
    <row r="1046" spans="12:12">
      <c r="L1046" s="149"/>
    </row>
    <row r="1047" spans="12:12">
      <c r="L1047" s="149"/>
    </row>
    <row r="1048" spans="12:12">
      <c r="L1048" s="149"/>
    </row>
    <row r="1049" spans="12:12">
      <c r="L1049" s="149"/>
    </row>
    <row r="1050" spans="12:12">
      <c r="L1050" s="149"/>
    </row>
    <row r="1051" spans="12:12">
      <c r="L1051" s="149"/>
    </row>
    <row r="1052" spans="12:12">
      <c r="L1052" s="149"/>
    </row>
    <row r="1053" spans="12:12">
      <c r="L1053" s="149"/>
    </row>
    <row r="1054" spans="12:12">
      <c r="L1054" s="149"/>
    </row>
    <row r="1055" spans="12:12">
      <c r="L1055" s="149"/>
    </row>
    <row r="1056" spans="12:12">
      <c r="L1056" s="149"/>
    </row>
    <row r="1057" spans="12:12">
      <c r="L1057" s="149"/>
    </row>
    <row r="1058" spans="12:12">
      <c r="L1058" s="149"/>
    </row>
    <row r="1059" spans="12:12">
      <c r="L1059" s="149"/>
    </row>
    <row r="1060" spans="12:12">
      <c r="L1060" s="149"/>
    </row>
    <row r="1061" spans="12:12">
      <c r="L1061" s="149"/>
    </row>
    <row r="1062" spans="12:12">
      <c r="L1062" s="149"/>
    </row>
    <row r="1063" spans="12:12">
      <c r="L1063" s="149"/>
    </row>
    <row r="1064" spans="12:12">
      <c r="L1064" s="149"/>
    </row>
    <row r="1065" spans="12:12">
      <c r="L1065" s="149"/>
    </row>
    <row r="1066" spans="12:12">
      <c r="L1066" s="149"/>
    </row>
    <row r="1067" spans="12:12">
      <c r="L1067" s="149"/>
    </row>
    <row r="1068" spans="12:12">
      <c r="L1068" s="149"/>
    </row>
    <row r="1069" spans="12:12">
      <c r="L1069" s="149"/>
    </row>
    <row r="1070" spans="12:12">
      <c r="L1070" s="149"/>
    </row>
    <row r="1071" spans="12:12">
      <c r="L1071" s="149"/>
    </row>
    <row r="1072" spans="12:12">
      <c r="L1072" s="149"/>
    </row>
    <row r="1073" spans="12:12">
      <c r="L1073" s="149"/>
    </row>
    <row r="1074" spans="12:12">
      <c r="L1074" s="149"/>
    </row>
    <row r="1075" spans="12:12">
      <c r="L1075" s="149"/>
    </row>
    <row r="1076" spans="12:12">
      <c r="L1076" s="149"/>
    </row>
    <row r="1077" spans="12:12">
      <c r="L1077" s="149"/>
    </row>
    <row r="1078" spans="12:12">
      <c r="L1078" s="149"/>
    </row>
    <row r="1079" spans="12:12">
      <c r="L1079" s="149"/>
    </row>
    <row r="1080" spans="12:12">
      <c r="L1080" s="149"/>
    </row>
    <row r="1081" spans="12:12">
      <c r="L1081" s="149"/>
    </row>
    <row r="1082" spans="12:12">
      <c r="L1082" s="149"/>
    </row>
    <row r="1083" spans="12:12">
      <c r="L1083" s="149"/>
    </row>
    <row r="1084" spans="12:12">
      <c r="L1084" s="149"/>
    </row>
    <row r="1085" spans="12:12">
      <c r="L1085" s="149"/>
    </row>
    <row r="1086" spans="12:12">
      <c r="L1086" s="149"/>
    </row>
    <row r="1087" spans="12:12">
      <c r="L1087" s="149"/>
    </row>
    <row r="1088" spans="12:12">
      <c r="L1088" s="149"/>
    </row>
    <row r="1089" spans="12:12">
      <c r="L1089" s="149"/>
    </row>
    <row r="1090" spans="12:12">
      <c r="L1090" s="149"/>
    </row>
    <row r="1091" spans="12:12">
      <c r="L1091" s="149"/>
    </row>
    <row r="1092" spans="12:12">
      <c r="L1092" s="149"/>
    </row>
    <row r="1093" spans="12:12">
      <c r="L1093" s="149"/>
    </row>
    <row r="1094" spans="12:12">
      <c r="L1094" s="149"/>
    </row>
    <row r="1095" spans="12:12">
      <c r="L1095" s="149"/>
    </row>
    <row r="1096" spans="12:12">
      <c r="L1096" s="149"/>
    </row>
    <row r="1097" spans="12:12">
      <c r="L1097" s="149"/>
    </row>
    <row r="1098" spans="12:12">
      <c r="L1098" s="149"/>
    </row>
    <row r="1099" spans="12:12">
      <c r="L1099" s="149"/>
    </row>
    <row r="1100" spans="12:12">
      <c r="L1100" s="149"/>
    </row>
    <row r="1101" spans="12:12">
      <c r="L1101" s="149"/>
    </row>
    <row r="1102" spans="12:12">
      <c r="L1102" s="149"/>
    </row>
    <row r="1103" spans="12:12">
      <c r="L1103" s="149"/>
    </row>
    <row r="1104" spans="12:12">
      <c r="L1104" s="149"/>
    </row>
    <row r="1105" spans="12:12">
      <c r="L1105" s="149"/>
    </row>
    <row r="1106" spans="12:12">
      <c r="L1106" s="149"/>
    </row>
    <row r="1107" spans="12:12">
      <c r="L1107" s="149"/>
    </row>
    <row r="1108" spans="12:12">
      <c r="L1108" s="149"/>
    </row>
    <row r="1109" spans="12:12">
      <c r="L1109" s="149"/>
    </row>
    <row r="1110" spans="12:12">
      <c r="L1110" s="149"/>
    </row>
    <row r="1111" spans="12:12">
      <c r="L1111" s="149"/>
    </row>
    <row r="1112" spans="12:12">
      <c r="L1112" s="149"/>
    </row>
    <row r="1113" spans="12:12">
      <c r="L1113" s="149"/>
    </row>
    <row r="1114" spans="12:12">
      <c r="L1114" s="149"/>
    </row>
    <row r="1115" spans="12:12">
      <c r="L1115" s="149"/>
    </row>
    <row r="1116" spans="12:12">
      <c r="L1116" s="149"/>
    </row>
    <row r="1117" spans="12:12">
      <c r="L1117" s="149"/>
    </row>
    <row r="1118" spans="12:12">
      <c r="L1118" s="149"/>
    </row>
    <row r="1119" spans="12:12">
      <c r="L1119" s="149"/>
    </row>
    <row r="1120" spans="12:12">
      <c r="L1120" s="149"/>
    </row>
    <row r="1121" spans="12:12">
      <c r="L1121" s="149"/>
    </row>
    <row r="1122" spans="12:12">
      <c r="L1122" s="149"/>
    </row>
    <row r="1123" spans="12:12">
      <c r="L1123" s="149"/>
    </row>
    <row r="1124" spans="12:12">
      <c r="L1124" s="149"/>
    </row>
    <row r="1125" spans="12:12">
      <c r="L1125" s="149"/>
    </row>
    <row r="1126" spans="12:12">
      <c r="L1126" s="149"/>
    </row>
    <row r="1127" spans="12:12">
      <c r="L1127" s="149"/>
    </row>
    <row r="1128" spans="12:12">
      <c r="L1128" s="149"/>
    </row>
    <row r="1129" spans="12:12">
      <c r="L1129" s="149"/>
    </row>
    <row r="1130" spans="12:12">
      <c r="L1130" s="149"/>
    </row>
    <row r="1131" spans="12:12">
      <c r="L1131" s="149"/>
    </row>
    <row r="1132" spans="12:12">
      <c r="L1132" s="149"/>
    </row>
    <row r="1133" spans="12:12">
      <c r="L1133" s="149"/>
    </row>
    <row r="1134" spans="12:12">
      <c r="L1134" s="149"/>
    </row>
    <row r="1135" spans="12:12">
      <c r="L1135" s="149"/>
    </row>
    <row r="1136" spans="12:12">
      <c r="L1136" s="149"/>
    </row>
    <row r="1137" spans="12:12">
      <c r="L1137" s="149"/>
    </row>
    <row r="1138" spans="12:12">
      <c r="L1138" s="149"/>
    </row>
    <row r="1139" spans="12:12">
      <c r="L1139" s="149"/>
    </row>
    <row r="1140" spans="12:12">
      <c r="L1140" s="149"/>
    </row>
    <row r="1141" spans="12:12">
      <c r="L1141" s="149"/>
    </row>
    <row r="1142" spans="12:12">
      <c r="L1142" s="149"/>
    </row>
    <row r="1143" spans="12:12">
      <c r="L1143" s="149"/>
    </row>
    <row r="1144" spans="12:12">
      <c r="L1144" s="149"/>
    </row>
    <row r="1145" spans="12:12">
      <c r="L1145" s="149"/>
    </row>
    <row r="1146" spans="12:12">
      <c r="L1146" s="149"/>
    </row>
    <row r="1147" spans="12:12">
      <c r="L1147" s="149"/>
    </row>
    <row r="1148" spans="12:12">
      <c r="L1148" s="149"/>
    </row>
    <row r="1149" spans="12:12">
      <c r="L1149" s="149"/>
    </row>
    <row r="1150" spans="12:12">
      <c r="L1150" s="149"/>
    </row>
    <row r="1151" spans="12:12">
      <c r="L1151" s="149"/>
    </row>
    <row r="1152" spans="12:12">
      <c r="L1152" s="149"/>
    </row>
    <row r="1153" spans="12:12">
      <c r="L1153" s="149"/>
    </row>
    <row r="1154" spans="12:12">
      <c r="L1154" s="149"/>
    </row>
    <row r="1155" spans="12:12">
      <c r="L1155" s="149"/>
    </row>
    <row r="1156" spans="12:12">
      <c r="L1156" s="149"/>
    </row>
    <row r="1157" spans="12:12">
      <c r="L1157" s="149"/>
    </row>
    <row r="1158" spans="12:12">
      <c r="L1158" s="149"/>
    </row>
    <row r="1159" spans="12:12">
      <c r="L1159" s="149"/>
    </row>
    <row r="1160" spans="12:12">
      <c r="L1160" s="149"/>
    </row>
    <row r="1161" spans="12:12">
      <c r="L1161" s="149"/>
    </row>
    <row r="1162" spans="12:12">
      <c r="L1162" s="149"/>
    </row>
    <row r="1163" spans="12:12">
      <c r="L1163" s="149"/>
    </row>
    <row r="1164" spans="12:12">
      <c r="L1164" s="149"/>
    </row>
    <row r="1165" spans="12:12">
      <c r="L1165" s="149"/>
    </row>
    <row r="1166" spans="12:12">
      <c r="L1166" s="149"/>
    </row>
    <row r="1167" spans="12:12">
      <c r="L1167" s="149"/>
    </row>
    <row r="1168" spans="12:12">
      <c r="L1168" s="149"/>
    </row>
    <row r="1169" spans="12:12">
      <c r="L1169" s="149"/>
    </row>
    <row r="1170" spans="12:12">
      <c r="L1170" s="149"/>
    </row>
    <row r="1171" spans="12:12">
      <c r="L1171" s="149"/>
    </row>
    <row r="1172" spans="12:12">
      <c r="L1172" s="149"/>
    </row>
    <row r="1173" spans="12:12">
      <c r="L1173" s="149"/>
    </row>
    <row r="1174" spans="12:12">
      <c r="L1174" s="149"/>
    </row>
    <row r="1175" spans="12:12">
      <c r="L1175" s="149"/>
    </row>
    <row r="1176" spans="12:12">
      <c r="L1176" s="149"/>
    </row>
    <row r="1177" spans="12:12">
      <c r="L1177" s="149"/>
    </row>
    <row r="1178" spans="12:12">
      <c r="L1178" s="149"/>
    </row>
    <row r="1179" spans="12:12">
      <c r="L1179" s="149"/>
    </row>
    <row r="1180" spans="12:12">
      <c r="L1180" s="149"/>
    </row>
    <row r="1181" spans="12:12">
      <c r="L1181" s="149"/>
    </row>
    <row r="1182" spans="12:12">
      <c r="L1182" s="149"/>
    </row>
    <row r="1183" spans="12:12">
      <c r="L1183" s="149"/>
    </row>
    <row r="1184" spans="12:12">
      <c r="L1184" s="149"/>
    </row>
    <row r="1185" spans="12:12">
      <c r="L1185" s="149"/>
    </row>
    <row r="1186" spans="12:12">
      <c r="L1186" s="149"/>
    </row>
    <row r="1187" spans="12:12">
      <c r="L1187" s="149"/>
    </row>
    <row r="1188" spans="12:12">
      <c r="L1188" s="149"/>
    </row>
    <row r="1189" spans="12:12">
      <c r="L1189" s="149"/>
    </row>
    <row r="1190" spans="12:12">
      <c r="L1190" s="149"/>
    </row>
    <row r="1191" spans="12:12">
      <c r="L1191" s="149"/>
    </row>
    <row r="1192" spans="12:12">
      <c r="L1192" s="149"/>
    </row>
    <row r="1193" spans="12:12">
      <c r="L1193" s="149"/>
    </row>
    <row r="1194" spans="12:12">
      <c r="L1194" s="149"/>
    </row>
    <row r="1195" spans="12:12">
      <c r="L1195" s="149"/>
    </row>
    <row r="1196" spans="12:12">
      <c r="L1196" s="149"/>
    </row>
    <row r="1197" spans="12:12">
      <c r="L1197" s="149"/>
    </row>
    <row r="1198" spans="12:12">
      <c r="L1198" s="149"/>
    </row>
    <row r="1199" spans="12:12">
      <c r="L1199" s="149"/>
    </row>
    <row r="1200" spans="12:12">
      <c r="L1200" s="149"/>
    </row>
    <row r="1201" spans="12:12">
      <c r="L1201" s="149"/>
    </row>
    <row r="1202" spans="12:12">
      <c r="L1202" s="149"/>
    </row>
    <row r="1203" spans="12:12">
      <c r="L1203" s="149"/>
    </row>
    <row r="1204" spans="12:12">
      <c r="L1204" s="149"/>
    </row>
    <row r="1205" spans="12:12">
      <c r="L1205" s="149"/>
    </row>
    <row r="1206" spans="12:12">
      <c r="L1206" s="149"/>
    </row>
    <row r="1207" spans="12:12">
      <c r="L1207" s="149"/>
    </row>
    <row r="1208" spans="12:12">
      <c r="L1208" s="149"/>
    </row>
    <row r="1209" spans="12:12">
      <c r="L1209" s="149"/>
    </row>
    <row r="1210" spans="12:12">
      <c r="L1210" s="149"/>
    </row>
    <row r="1211" spans="12:12">
      <c r="L1211" s="149"/>
    </row>
    <row r="1212" spans="12:12">
      <c r="L1212" s="149"/>
    </row>
    <row r="1213" spans="12:12">
      <c r="L1213" s="149"/>
    </row>
    <row r="1214" spans="12:12">
      <c r="L1214" s="149"/>
    </row>
    <row r="1215" spans="12:12">
      <c r="L1215" s="149"/>
    </row>
    <row r="1216" spans="12:12">
      <c r="L1216" s="149"/>
    </row>
    <row r="1217" spans="12:12">
      <c r="L1217" s="149"/>
    </row>
    <row r="1218" spans="12:12">
      <c r="L1218" s="149"/>
    </row>
    <row r="1219" spans="12:12">
      <c r="L1219" s="149"/>
    </row>
    <row r="1220" spans="12:12">
      <c r="L1220" s="149"/>
    </row>
    <row r="1221" spans="12:12">
      <c r="L1221" s="149"/>
    </row>
    <row r="1222" spans="12:12">
      <c r="L1222" s="149"/>
    </row>
    <row r="1223" spans="12:12">
      <c r="L1223" s="149"/>
    </row>
    <row r="1224" spans="12:12">
      <c r="L1224" s="149"/>
    </row>
    <row r="1225" spans="12:12">
      <c r="L1225" s="149"/>
    </row>
    <row r="1226" spans="12:12">
      <c r="L1226" s="149"/>
    </row>
    <row r="1227" spans="12:12">
      <c r="L1227" s="149"/>
    </row>
    <row r="1228" spans="12:12">
      <c r="L1228" s="149"/>
    </row>
    <row r="1229" spans="12:12">
      <c r="L1229" s="149"/>
    </row>
    <row r="1230" spans="12:12">
      <c r="L1230" s="149"/>
    </row>
    <row r="1231" spans="12:12">
      <c r="L1231" s="149"/>
    </row>
    <row r="1232" spans="12:12">
      <c r="L1232" s="149"/>
    </row>
    <row r="1233" spans="12:12">
      <c r="L1233" s="149"/>
    </row>
    <row r="1234" spans="12:12">
      <c r="L1234" s="149"/>
    </row>
    <row r="1235" spans="12:12">
      <c r="L1235" s="149"/>
    </row>
    <row r="1236" spans="12:12">
      <c r="L1236" s="149"/>
    </row>
    <row r="1237" spans="12:12">
      <c r="L1237" s="149"/>
    </row>
    <row r="1238" spans="12:12">
      <c r="L1238" s="149"/>
    </row>
    <row r="1239" spans="12:12">
      <c r="L1239" s="149"/>
    </row>
    <row r="1240" spans="12:12">
      <c r="L1240" s="149"/>
    </row>
    <row r="1241" spans="12:12">
      <c r="L1241" s="149"/>
    </row>
    <row r="1242" spans="12:12">
      <c r="L1242" s="149"/>
    </row>
    <row r="1243" spans="12:12">
      <c r="L1243" s="149"/>
    </row>
    <row r="1244" spans="12:12">
      <c r="L1244" s="149"/>
    </row>
    <row r="1245" spans="12:12">
      <c r="L1245" s="149"/>
    </row>
    <row r="1246" spans="12:12">
      <c r="L1246" s="149"/>
    </row>
    <row r="1247" spans="12:12">
      <c r="L1247" s="149"/>
    </row>
    <row r="1248" spans="12:12">
      <c r="L1248" s="149"/>
    </row>
    <row r="1249" spans="12:12">
      <c r="L1249" s="149"/>
    </row>
    <row r="1250" spans="12:12">
      <c r="L1250" s="149"/>
    </row>
    <row r="1251" spans="12:12">
      <c r="L1251" s="149"/>
    </row>
    <row r="1252" spans="12:12">
      <c r="L1252" s="149"/>
    </row>
    <row r="1253" spans="12:12">
      <c r="L1253" s="149"/>
    </row>
    <row r="1254" spans="12:12">
      <c r="L1254" s="149"/>
    </row>
    <row r="1255" spans="12:12">
      <c r="L1255" s="149"/>
    </row>
    <row r="1256" spans="12:12">
      <c r="L1256" s="149"/>
    </row>
    <row r="1257" spans="12:12">
      <c r="L1257" s="149"/>
    </row>
    <row r="1258" spans="12:12">
      <c r="L1258" s="149"/>
    </row>
    <row r="1259" spans="12:12">
      <c r="L1259" s="149"/>
    </row>
    <row r="1260" spans="12:12">
      <c r="L1260" s="149"/>
    </row>
    <row r="1261" spans="12:12">
      <c r="L1261" s="149"/>
    </row>
    <row r="1262" spans="12:12">
      <c r="L1262" s="149"/>
    </row>
    <row r="1263" spans="12:12">
      <c r="L1263" s="149"/>
    </row>
    <row r="1264" spans="12:12">
      <c r="L1264" s="149"/>
    </row>
    <row r="1265" spans="12:12">
      <c r="L1265" s="149"/>
    </row>
    <row r="1266" spans="12:12">
      <c r="L1266" s="149"/>
    </row>
    <row r="1267" spans="12:12">
      <c r="L1267" s="149"/>
    </row>
    <row r="1268" spans="12:12">
      <c r="L1268" s="149"/>
    </row>
    <row r="1269" spans="12:12">
      <c r="L1269" s="149"/>
    </row>
    <row r="1270" spans="12:12">
      <c r="L1270" s="149"/>
    </row>
    <row r="1271" spans="12:12">
      <c r="L1271" s="149"/>
    </row>
    <row r="1272" spans="12:12">
      <c r="L1272" s="149"/>
    </row>
    <row r="1273" spans="12:12">
      <c r="L1273" s="149"/>
    </row>
    <row r="1274" spans="12:12">
      <c r="L1274" s="149"/>
    </row>
    <row r="1275" spans="12:12">
      <c r="L1275" s="149"/>
    </row>
    <row r="1276" spans="12:12">
      <c r="L1276" s="149"/>
    </row>
    <row r="1277" spans="12:12">
      <c r="L1277" s="149"/>
    </row>
    <row r="1278" spans="12:12">
      <c r="L1278" s="149"/>
    </row>
    <row r="1279" spans="12:12">
      <c r="L1279" s="149"/>
    </row>
    <row r="1280" spans="12:12">
      <c r="L1280" s="149"/>
    </row>
    <row r="1281" spans="12:12">
      <c r="L1281" s="149"/>
    </row>
    <row r="1282" spans="12:12">
      <c r="L1282" s="149"/>
    </row>
    <row r="1283" spans="12:12">
      <c r="L1283" s="149"/>
    </row>
    <row r="1284" spans="12:12">
      <c r="L1284" s="149"/>
    </row>
    <row r="1285" spans="12:12">
      <c r="L1285" s="149"/>
    </row>
    <row r="1286" spans="12:12">
      <c r="L1286" s="149"/>
    </row>
    <row r="1287" spans="12:12">
      <c r="L1287" s="149"/>
    </row>
    <row r="1288" spans="12:12">
      <c r="L1288" s="149"/>
    </row>
    <row r="1289" spans="12:12">
      <c r="L1289" s="149"/>
    </row>
    <row r="1290" spans="12:12">
      <c r="L1290" s="149"/>
    </row>
    <row r="1291" spans="12:12">
      <c r="L1291" s="149"/>
    </row>
    <row r="1292" spans="12:12">
      <c r="L1292" s="149"/>
    </row>
    <row r="1293" spans="12:12">
      <c r="L1293" s="149"/>
    </row>
    <row r="1294" spans="12:12">
      <c r="L1294" s="149"/>
    </row>
    <row r="1295" spans="12:12">
      <c r="L1295" s="149"/>
    </row>
    <row r="1296" spans="12:12">
      <c r="L1296" s="149"/>
    </row>
    <row r="1297" spans="12:12">
      <c r="L1297" s="149"/>
    </row>
    <row r="1298" spans="12:12">
      <c r="L1298" s="149"/>
    </row>
    <row r="1299" spans="12:12">
      <c r="L1299" s="149"/>
    </row>
    <row r="1300" spans="12:12">
      <c r="L1300" s="149"/>
    </row>
    <row r="1301" spans="12:12">
      <c r="L1301" s="149"/>
    </row>
    <row r="1302" spans="12:12">
      <c r="L1302" s="149"/>
    </row>
    <row r="1303" spans="12:12">
      <c r="L1303" s="149"/>
    </row>
    <row r="1304" spans="12:12">
      <c r="L1304" s="149"/>
    </row>
    <row r="1305" spans="12:12">
      <c r="L1305" s="149"/>
    </row>
    <row r="1306" spans="12:12">
      <c r="L1306" s="149"/>
    </row>
    <row r="1307" spans="12:12">
      <c r="L1307" s="149"/>
    </row>
    <row r="1308" spans="12:12">
      <c r="L1308" s="149"/>
    </row>
    <row r="1309" spans="12:12">
      <c r="L1309" s="149"/>
    </row>
    <row r="1310" spans="12:12">
      <c r="L1310" s="149"/>
    </row>
    <row r="1311" spans="12:12">
      <c r="L1311" s="149"/>
    </row>
    <row r="1312" spans="12:12">
      <c r="L1312" s="149"/>
    </row>
    <row r="1313" spans="12:12">
      <c r="L1313" s="149"/>
    </row>
    <row r="1314" spans="12:12">
      <c r="L1314" s="149"/>
    </row>
    <row r="1315" spans="12:12">
      <c r="L1315" s="149"/>
    </row>
    <row r="1316" spans="12:12">
      <c r="L1316" s="149"/>
    </row>
    <row r="1317" spans="12:12">
      <c r="L1317" s="149"/>
    </row>
    <row r="1318" spans="12:12">
      <c r="L1318" s="149"/>
    </row>
    <row r="1319" spans="12:12">
      <c r="L1319" s="149"/>
    </row>
    <row r="1320" spans="12:12">
      <c r="L1320" s="149"/>
    </row>
    <row r="1321" spans="12:12">
      <c r="L1321" s="149"/>
    </row>
    <row r="1322" spans="12:12">
      <c r="L1322" s="149"/>
    </row>
    <row r="1323" spans="12:12">
      <c r="L1323" s="149"/>
    </row>
    <row r="1324" spans="12:12">
      <c r="L1324" s="149"/>
    </row>
    <row r="1325" spans="12:12">
      <c r="L1325" s="149"/>
    </row>
    <row r="1326" spans="12:12">
      <c r="L1326" s="149"/>
    </row>
    <row r="1327" spans="12:12">
      <c r="L1327" s="149"/>
    </row>
    <row r="1328" spans="12:12">
      <c r="L1328" s="149"/>
    </row>
    <row r="1329" spans="12:12">
      <c r="L1329" s="149"/>
    </row>
    <row r="1330" spans="12:12">
      <c r="L1330" s="149"/>
    </row>
    <row r="1331" spans="12:12">
      <c r="L1331" s="149"/>
    </row>
    <row r="1332" spans="12:12">
      <c r="L1332" s="149"/>
    </row>
    <row r="1333" spans="12:12">
      <c r="L1333" s="149"/>
    </row>
    <row r="1334" spans="12:12">
      <c r="L1334" s="149"/>
    </row>
    <row r="1335" spans="12:12">
      <c r="L1335" s="149"/>
    </row>
    <row r="1336" spans="12:12">
      <c r="L1336" s="149"/>
    </row>
    <row r="1337" spans="12:12">
      <c r="L1337" s="149"/>
    </row>
    <row r="1338" spans="12:12">
      <c r="L1338" s="149"/>
    </row>
    <row r="1339" spans="12:12">
      <c r="L1339" s="149"/>
    </row>
    <row r="1340" spans="12:12">
      <c r="L1340" s="149"/>
    </row>
    <row r="1341" spans="12:12">
      <c r="L1341" s="149"/>
    </row>
    <row r="1342" spans="12:12">
      <c r="L1342" s="149"/>
    </row>
    <row r="1343" spans="12:12">
      <c r="L1343" s="149"/>
    </row>
    <row r="1344" spans="12:12">
      <c r="L1344" s="149"/>
    </row>
    <row r="1345" spans="12:12">
      <c r="L1345" s="149"/>
    </row>
    <row r="1346" spans="12:12">
      <c r="L1346" s="149"/>
    </row>
    <row r="1347" spans="12:12">
      <c r="L1347" s="149"/>
    </row>
    <row r="1348" spans="12:12">
      <c r="L1348" s="149"/>
    </row>
    <row r="1349" spans="12:12">
      <c r="L1349" s="149"/>
    </row>
    <row r="1350" spans="12:12">
      <c r="L1350" s="149"/>
    </row>
    <row r="1351" spans="12:12">
      <c r="L1351" s="149"/>
    </row>
    <row r="1352" spans="12:12">
      <c r="L1352" s="149"/>
    </row>
    <row r="1353" spans="12:12">
      <c r="L1353" s="149"/>
    </row>
    <row r="1354" spans="12:12">
      <c r="L1354" s="149"/>
    </row>
    <row r="1355" spans="12:12">
      <c r="L1355" s="149"/>
    </row>
    <row r="1356" spans="12:12">
      <c r="L1356" s="149"/>
    </row>
    <row r="1357" spans="12:12">
      <c r="L1357" s="149"/>
    </row>
    <row r="1358" spans="12:12">
      <c r="L1358" s="149"/>
    </row>
    <row r="1359" spans="12:12">
      <c r="L1359" s="149"/>
    </row>
    <row r="1360" spans="12:12">
      <c r="L1360" s="149"/>
    </row>
    <row r="1361" spans="12:12">
      <c r="L1361" s="149"/>
    </row>
    <row r="1362" spans="12:12">
      <c r="L1362" s="149"/>
    </row>
    <row r="1363" spans="12:12">
      <c r="L1363" s="149"/>
    </row>
    <row r="1364" spans="12:12">
      <c r="L1364" s="149"/>
    </row>
    <row r="1365" spans="12:12">
      <c r="L1365" s="149"/>
    </row>
    <row r="1366" spans="12:12">
      <c r="L1366" s="149"/>
    </row>
    <row r="1367" spans="12:12">
      <c r="L1367" s="149"/>
    </row>
    <row r="1368" spans="12:12">
      <c r="L1368" s="149"/>
    </row>
    <row r="1369" spans="12:12">
      <c r="L1369" s="149"/>
    </row>
    <row r="1370" spans="12:12">
      <c r="L1370" s="149"/>
    </row>
    <row r="1371" spans="12:12">
      <c r="L1371" s="149"/>
    </row>
    <row r="1372" spans="12:12">
      <c r="L1372" s="149"/>
    </row>
    <row r="1373" spans="12:12">
      <c r="L1373" s="149"/>
    </row>
    <row r="1374" spans="12:12">
      <c r="L1374" s="149"/>
    </row>
    <row r="1375" spans="12:12">
      <c r="L1375" s="149"/>
    </row>
    <row r="1376" spans="12:12">
      <c r="L1376" s="149"/>
    </row>
    <row r="1377" spans="12:12">
      <c r="L1377" s="149"/>
    </row>
    <row r="1378" spans="12:12">
      <c r="L1378" s="149"/>
    </row>
    <row r="1379" spans="12:12">
      <c r="L1379" s="149"/>
    </row>
    <row r="1380" spans="12:12">
      <c r="L1380" s="149"/>
    </row>
    <row r="1381" spans="12:12">
      <c r="L1381" s="149"/>
    </row>
    <row r="1382" spans="12:12">
      <c r="L1382" s="149"/>
    </row>
    <row r="1383" spans="12:12">
      <c r="L1383" s="149"/>
    </row>
    <row r="1384" spans="12:12">
      <c r="L1384" s="149"/>
    </row>
    <row r="1385" spans="12:12">
      <c r="L1385" s="149"/>
    </row>
    <row r="1386" spans="12:12">
      <c r="L1386" s="149"/>
    </row>
    <row r="1387" spans="12:12">
      <c r="L1387" s="149"/>
    </row>
    <row r="1388" spans="12:12">
      <c r="L1388" s="149"/>
    </row>
    <row r="1389" spans="12:12">
      <c r="L1389" s="149"/>
    </row>
    <row r="1390" spans="12:12">
      <c r="L1390" s="149"/>
    </row>
    <row r="1391" spans="12:12">
      <c r="L1391" s="149"/>
    </row>
    <row r="1392" spans="12:12">
      <c r="L1392" s="149"/>
    </row>
    <row r="1393" spans="12:12">
      <c r="L1393" s="149"/>
    </row>
    <row r="1394" spans="12:12">
      <c r="L1394" s="149"/>
    </row>
    <row r="1395" spans="12:12">
      <c r="L1395" s="149"/>
    </row>
    <row r="1396" spans="12:12">
      <c r="L1396" s="149"/>
    </row>
    <row r="1397" spans="12:12">
      <c r="L1397" s="149"/>
    </row>
    <row r="1398" spans="12:12">
      <c r="L1398" s="149"/>
    </row>
    <row r="1399" spans="12:12">
      <c r="L1399" s="149"/>
    </row>
    <row r="1400" spans="12:12">
      <c r="L1400" s="149"/>
    </row>
    <row r="1401" spans="12:12">
      <c r="L1401" s="149"/>
    </row>
    <row r="1402" spans="12:12">
      <c r="L1402" s="149"/>
    </row>
    <row r="1403" spans="12:12">
      <c r="L1403" s="149"/>
    </row>
    <row r="1404" spans="12:12">
      <c r="L1404" s="149"/>
    </row>
    <row r="1405" spans="12:12">
      <c r="L1405" s="149"/>
    </row>
    <row r="1406" spans="12:12">
      <c r="L1406" s="149"/>
    </row>
    <row r="1407" spans="12:12">
      <c r="L1407" s="149"/>
    </row>
    <row r="1408" spans="12:12">
      <c r="L1408" s="149"/>
    </row>
    <row r="1409" spans="12:12">
      <c r="L1409" s="149"/>
    </row>
    <row r="1410" spans="12:12">
      <c r="L1410" s="149"/>
    </row>
    <row r="1411" spans="12:12">
      <c r="L1411" s="149"/>
    </row>
    <row r="1412" spans="12:12">
      <c r="L1412" s="149"/>
    </row>
    <row r="1413" spans="12:12">
      <c r="L1413" s="149"/>
    </row>
    <row r="1414" spans="12:12">
      <c r="L1414" s="149"/>
    </row>
    <row r="1415" spans="12:12">
      <c r="L1415" s="149"/>
    </row>
    <row r="1416" spans="12:12">
      <c r="L1416" s="149"/>
    </row>
    <row r="1417" spans="12:12">
      <c r="L1417" s="149"/>
    </row>
    <row r="1418" spans="12:12">
      <c r="L1418" s="149"/>
    </row>
    <row r="1419" spans="12:12">
      <c r="L1419" s="149"/>
    </row>
    <row r="1420" spans="12:12">
      <c r="L1420" s="149"/>
    </row>
    <row r="1421" spans="12:12">
      <c r="L1421" s="149"/>
    </row>
    <row r="1422" spans="12:12">
      <c r="L1422" s="149"/>
    </row>
    <row r="1423" spans="12:12">
      <c r="L1423" s="149"/>
    </row>
    <row r="1424" spans="12:12">
      <c r="L1424" s="149"/>
    </row>
    <row r="1425" spans="12:12">
      <c r="L1425" s="149"/>
    </row>
    <row r="1426" spans="12:12">
      <c r="L1426" s="149"/>
    </row>
    <row r="1427" spans="12:12">
      <c r="L1427" s="149"/>
    </row>
    <row r="1428" spans="12:12">
      <c r="L1428" s="149"/>
    </row>
    <row r="1429" spans="12:12">
      <c r="L1429" s="149"/>
    </row>
    <row r="1430" spans="12:12">
      <c r="L1430" s="149"/>
    </row>
    <row r="1431" spans="12:12">
      <c r="L1431" s="149"/>
    </row>
    <row r="1432" spans="12:12">
      <c r="L1432" s="149"/>
    </row>
    <row r="1433" spans="12:12">
      <c r="L1433" s="149"/>
    </row>
    <row r="1434" spans="12:12">
      <c r="L1434" s="149"/>
    </row>
    <row r="1435" spans="12:12">
      <c r="L1435" s="149"/>
    </row>
    <row r="1436" spans="12:12">
      <c r="L1436" s="149"/>
    </row>
    <row r="1437" spans="12:12">
      <c r="L1437" s="149"/>
    </row>
    <row r="1438" spans="12:12">
      <c r="L1438" s="149"/>
    </row>
    <row r="1439" spans="12:12">
      <c r="L1439" s="149"/>
    </row>
    <row r="1440" spans="12:12">
      <c r="L1440" s="149"/>
    </row>
    <row r="1441" spans="12:12">
      <c r="L1441" s="149"/>
    </row>
    <row r="1442" spans="12:12">
      <c r="L1442" s="149"/>
    </row>
    <row r="1443" spans="12:12">
      <c r="L1443" s="149"/>
    </row>
    <row r="1444" spans="12:12">
      <c r="L1444" s="149"/>
    </row>
    <row r="1445" spans="12:12">
      <c r="L1445" s="149"/>
    </row>
    <row r="1446" spans="12:12">
      <c r="L1446" s="149"/>
    </row>
    <row r="1447" spans="12:12">
      <c r="L1447" s="149"/>
    </row>
    <row r="1448" spans="12:12">
      <c r="L1448" s="149"/>
    </row>
    <row r="1449" spans="12:12">
      <c r="L1449" s="149"/>
    </row>
    <row r="1450" spans="12:12">
      <c r="L1450" s="149"/>
    </row>
    <row r="1451" spans="12:12">
      <c r="L1451" s="149"/>
    </row>
    <row r="1452" spans="12:12">
      <c r="L1452" s="149"/>
    </row>
    <row r="1453" spans="12:12">
      <c r="L1453" s="149"/>
    </row>
    <row r="1454" spans="12:12">
      <c r="L1454" s="149"/>
    </row>
    <row r="1455" spans="12:12">
      <c r="L1455" s="149"/>
    </row>
    <row r="1456" spans="12:12">
      <c r="L1456" s="149"/>
    </row>
    <row r="1457" spans="12:12">
      <c r="L1457" s="149"/>
    </row>
    <row r="1458" spans="12:12">
      <c r="L1458" s="149"/>
    </row>
    <row r="1459" spans="12:12">
      <c r="L1459" s="149"/>
    </row>
    <row r="1460" spans="12:12">
      <c r="L1460" s="149"/>
    </row>
    <row r="1461" spans="12:12">
      <c r="L1461" s="149"/>
    </row>
    <row r="1462" spans="12:12">
      <c r="L1462" s="149"/>
    </row>
    <row r="1463" spans="12:12">
      <c r="L1463" s="149"/>
    </row>
    <row r="1464" spans="12:12">
      <c r="L1464" s="149"/>
    </row>
    <row r="1465" spans="12:12">
      <c r="L1465" s="149"/>
    </row>
    <row r="1466" spans="12:12">
      <c r="L1466" s="149"/>
    </row>
    <row r="1467" spans="12:12">
      <c r="L1467" s="149"/>
    </row>
    <row r="1468" spans="12:12">
      <c r="L1468" s="149"/>
    </row>
    <row r="1469" spans="12:12">
      <c r="L1469" s="149"/>
    </row>
    <row r="1470" spans="12:12">
      <c r="L1470" s="149"/>
    </row>
    <row r="1471" spans="12:12">
      <c r="L1471" s="149"/>
    </row>
    <row r="1472" spans="12:12">
      <c r="L1472" s="149"/>
    </row>
    <row r="1473" spans="12:12">
      <c r="L1473" s="149"/>
    </row>
    <row r="1474" spans="12:12">
      <c r="L1474" s="149"/>
    </row>
    <row r="1475" spans="12:12">
      <c r="L1475" s="149"/>
    </row>
    <row r="1476" spans="12:12">
      <c r="L1476" s="149"/>
    </row>
    <row r="1477" spans="12:12">
      <c r="L1477" s="149"/>
    </row>
    <row r="1478" spans="12:12">
      <c r="L1478" s="149"/>
    </row>
    <row r="1479" spans="12:12">
      <c r="L1479" s="149"/>
    </row>
    <row r="1480" spans="12:12">
      <c r="L1480" s="149"/>
    </row>
    <row r="1481" spans="12:12">
      <c r="L1481" s="149"/>
    </row>
    <row r="1482" spans="12:12">
      <c r="L1482" s="149"/>
    </row>
    <row r="1483" spans="12:12">
      <c r="L1483" s="149"/>
    </row>
    <row r="1484" spans="12:12">
      <c r="L1484" s="149"/>
    </row>
    <row r="1485" spans="12:12">
      <c r="L1485" s="149"/>
    </row>
    <row r="1486" spans="12:12">
      <c r="L1486" s="149"/>
    </row>
    <row r="1487" spans="12:12">
      <c r="L1487" s="149"/>
    </row>
    <row r="1488" spans="12:12">
      <c r="L1488" s="149"/>
    </row>
    <row r="1489" spans="12:12">
      <c r="L1489" s="149"/>
    </row>
    <row r="1490" spans="12:12">
      <c r="L1490" s="149"/>
    </row>
    <row r="1491" spans="12:12">
      <c r="L1491" s="149"/>
    </row>
    <row r="1492" spans="12:12">
      <c r="L1492" s="149"/>
    </row>
    <row r="1493" spans="12:12">
      <c r="L1493" s="149"/>
    </row>
    <row r="1494" spans="12:12">
      <c r="L1494" s="149"/>
    </row>
    <row r="1495" spans="12:12">
      <c r="L1495" s="149"/>
    </row>
    <row r="1496" spans="12:12">
      <c r="L1496" s="149"/>
    </row>
    <row r="1497" spans="12:12">
      <c r="L1497" s="149"/>
    </row>
    <row r="1498" spans="12:12">
      <c r="L1498" s="149"/>
    </row>
    <row r="1499" spans="12:12">
      <c r="L1499" s="149"/>
    </row>
    <row r="1500" spans="12:12">
      <c r="L1500" s="149"/>
    </row>
    <row r="1501" spans="12:12">
      <c r="L1501" s="149"/>
    </row>
    <row r="1502" spans="12:12">
      <c r="L1502" s="149"/>
    </row>
    <row r="1503" spans="12:12">
      <c r="L1503" s="149"/>
    </row>
    <row r="1504" spans="12:12">
      <c r="L1504" s="149"/>
    </row>
    <row r="1505" spans="12:12">
      <c r="L1505" s="149"/>
    </row>
    <row r="1506" spans="12:12">
      <c r="L1506" s="149"/>
    </row>
    <row r="1507" spans="12:12">
      <c r="L1507" s="149"/>
    </row>
    <row r="1508" spans="12:12">
      <c r="L1508" s="149"/>
    </row>
    <row r="1509" spans="12:12">
      <c r="L1509" s="149"/>
    </row>
    <row r="1510" spans="12:12">
      <c r="L1510" s="149"/>
    </row>
    <row r="1511" spans="12:12">
      <c r="L1511" s="149"/>
    </row>
    <row r="1512" spans="12:12">
      <c r="L1512" s="149"/>
    </row>
    <row r="1513" spans="12:12">
      <c r="L1513" s="149"/>
    </row>
    <row r="1514" spans="12:12">
      <c r="L1514" s="149"/>
    </row>
    <row r="1515" spans="12:12">
      <c r="L1515" s="149"/>
    </row>
    <row r="1516" spans="12:12">
      <c r="L1516" s="149"/>
    </row>
    <row r="1517" spans="12:12">
      <c r="L1517" s="149"/>
    </row>
    <row r="1518" spans="12:12">
      <c r="L1518" s="149"/>
    </row>
    <row r="1519" spans="12:12">
      <c r="L1519" s="149"/>
    </row>
    <row r="1520" spans="12:12">
      <c r="L1520" s="149"/>
    </row>
    <row r="1521" spans="12:12">
      <c r="L1521" s="149"/>
    </row>
    <row r="1522" spans="12:12">
      <c r="L1522" s="149"/>
    </row>
    <row r="1523" spans="12:12">
      <c r="L1523" s="149"/>
    </row>
    <row r="1524" spans="12:12">
      <c r="L1524" s="149"/>
    </row>
    <row r="1525" spans="12:12">
      <c r="L1525" s="149"/>
    </row>
    <row r="1526" spans="12:12">
      <c r="L1526" s="149"/>
    </row>
    <row r="1527" spans="12:12">
      <c r="L1527" s="149"/>
    </row>
    <row r="1528" spans="12:12">
      <c r="L1528" s="149"/>
    </row>
    <row r="1529" spans="12:12">
      <c r="L1529" s="149"/>
    </row>
    <row r="1530" spans="12:12">
      <c r="L1530" s="149"/>
    </row>
    <row r="1531" spans="12:12">
      <c r="L1531" s="149"/>
    </row>
    <row r="1532" spans="12:12">
      <c r="L1532" s="149"/>
    </row>
    <row r="1533" spans="12:12">
      <c r="L1533" s="149"/>
    </row>
    <row r="1534" spans="12:12">
      <c r="L1534" s="149"/>
    </row>
    <row r="1535" spans="12:12">
      <c r="L1535" s="149"/>
    </row>
    <row r="1536" spans="12:12">
      <c r="L1536" s="149"/>
    </row>
    <row r="1537" spans="12:12">
      <c r="L1537" s="149"/>
    </row>
    <row r="1538" spans="12:12">
      <c r="L1538" s="149"/>
    </row>
    <row r="1539" spans="12:12">
      <c r="L1539" s="149"/>
    </row>
    <row r="1540" spans="12:12">
      <c r="L1540" s="149"/>
    </row>
    <row r="1541" spans="12:12">
      <c r="L1541" s="149"/>
    </row>
    <row r="1542" spans="12:12">
      <c r="L1542" s="149"/>
    </row>
    <row r="1543" spans="12:12">
      <c r="L1543" s="149"/>
    </row>
    <row r="1544" spans="12:12">
      <c r="L1544" s="149"/>
    </row>
    <row r="1545" spans="12:12">
      <c r="L1545" s="149"/>
    </row>
    <row r="1546" spans="12:12">
      <c r="L1546" s="149"/>
    </row>
    <row r="1547" spans="12:12">
      <c r="L1547" s="149"/>
    </row>
    <row r="1548" spans="12:12">
      <c r="L1548" s="149"/>
    </row>
    <row r="1549" spans="12:12">
      <c r="L1549" s="149"/>
    </row>
    <row r="1550" spans="12:12">
      <c r="L1550" s="149"/>
    </row>
    <row r="1551" spans="12:12">
      <c r="L1551" s="149"/>
    </row>
    <row r="1552" spans="12:12">
      <c r="L1552" s="149"/>
    </row>
    <row r="1553" spans="12:12">
      <c r="L1553" s="149"/>
    </row>
    <row r="1554" spans="12:12">
      <c r="L1554" s="149"/>
    </row>
    <row r="1555" spans="12:12">
      <c r="L1555" s="149"/>
    </row>
    <row r="1556" spans="12:12">
      <c r="L1556" s="149"/>
    </row>
    <row r="1557" spans="12:12">
      <c r="L1557" s="149"/>
    </row>
    <row r="1558" spans="12:12">
      <c r="L1558" s="149"/>
    </row>
    <row r="1559" spans="12:12">
      <c r="L1559" s="149"/>
    </row>
    <row r="1560" spans="12:12">
      <c r="L1560" s="149"/>
    </row>
    <row r="1561" spans="12:12">
      <c r="L1561" s="149"/>
    </row>
    <row r="1562" spans="12:12">
      <c r="L1562" s="149"/>
    </row>
    <row r="1563" spans="12:12">
      <c r="L1563" s="149"/>
    </row>
    <row r="1564" spans="12:12">
      <c r="L1564" s="149"/>
    </row>
    <row r="1565" spans="12:12">
      <c r="L1565" s="149"/>
    </row>
    <row r="1566" spans="12:12">
      <c r="L1566" s="149"/>
    </row>
    <row r="1567" spans="12:12">
      <c r="L1567" s="149"/>
    </row>
    <row r="1568" spans="12:12">
      <c r="L1568" s="149"/>
    </row>
    <row r="1569" spans="12:12">
      <c r="L1569" s="149"/>
    </row>
    <row r="1570" spans="12:12">
      <c r="L1570" s="149"/>
    </row>
    <row r="1571" spans="12:12">
      <c r="L1571" s="149"/>
    </row>
    <row r="1572" spans="12:12">
      <c r="L1572" s="149"/>
    </row>
    <row r="1573" spans="12:12">
      <c r="L1573" s="149"/>
    </row>
    <row r="1574" spans="12:12">
      <c r="L1574" s="149"/>
    </row>
    <row r="1575" spans="12:12">
      <c r="L1575" s="149"/>
    </row>
    <row r="1576" spans="12:12">
      <c r="L1576" s="149"/>
    </row>
    <row r="1577" spans="12:12">
      <c r="L1577" s="149"/>
    </row>
    <row r="1578" spans="12:12">
      <c r="L1578" s="149"/>
    </row>
    <row r="1579" spans="12:12">
      <c r="L1579" s="149"/>
    </row>
    <row r="1580" spans="12:12">
      <c r="L1580" s="149"/>
    </row>
    <row r="1581" spans="12:12">
      <c r="L1581" s="149"/>
    </row>
    <row r="1582" spans="12:12">
      <c r="L1582" s="149"/>
    </row>
    <row r="1583" spans="12:12">
      <c r="L1583" s="149"/>
    </row>
    <row r="1584" spans="12:12">
      <c r="L1584" s="149"/>
    </row>
    <row r="1585" spans="12:12">
      <c r="L1585" s="149"/>
    </row>
    <row r="1586" spans="12:12">
      <c r="L1586" s="149"/>
    </row>
    <row r="1587" spans="12:12">
      <c r="L1587" s="149"/>
    </row>
    <row r="1588" spans="12:12">
      <c r="L1588" s="149"/>
    </row>
    <row r="1589" spans="12:12">
      <c r="L1589" s="149"/>
    </row>
    <row r="1590" spans="12:12">
      <c r="L1590" s="149"/>
    </row>
    <row r="1591" spans="12:12">
      <c r="L1591" s="149"/>
    </row>
    <row r="1592" spans="12:12">
      <c r="L1592" s="149"/>
    </row>
    <row r="1593" spans="12:12">
      <c r="L1593" s="149"/>
    </row>
    <row r="1594" spans="12:12">
      <c r="L1594" s="149"/>
    </row>
    <row r="1595" spans="12:12">
      <c r="L1595" s="149"/>
    </row>
    <row r="1596" spans="12:12">
      <c r="L1596" s="149"/>
    </row>
    <row r="1597" spans="12:12">
      <c r="L1597" s="149"/>
    </row>
    <row r="1598" spans="12:12">
      <c r="L1598" s="149"/>
    </row>
    <row r="1599" spans="12:12">
      <c r="L1599" s="149"/>
    </row>
    <row r="1600" spans="12:12">
      <c r="L1600" s="149"/>
    </row>
    <row r="1601" spans="12:12">
      <c r="L1601" s="149"/>
    </row>
    <row r="1602" spans="12:12">
      <c r="L1602" s="149"/>
    </row>
    <row r="1603" spans="12:12">
      <c r="L1603" s="149"/>
    </row>
    <row r="1604" spans="12:12">
      <c r="L1604" s="149"/>
    </row>
    <row r="1605" spans="12:12">
      <c r="L1605" s="149"/>
    </row>
    <row r="1606" spans="12:12">
      <c r="L1606" s="149"/>
    </row>
    <row r="1607" spans="12:12">
      <c r="L1607" s="149"/>
    </row>
    <row r="1608" spans="12:12">
      <c r="L1608" s="149"/>
    </row>
    <row r="1609" spans="12:12">
      <c r="L1609" s="149"/>
    </row>
    <row r="1610" spans="12:12">
      <c r="L1610" s="149"/>
    </row>
    <row r="1611" spans="12:12">
      <c r="L1611" s="149"/>
    </row>
    <row r="1612" spans="12:12">
      <c r="L1612" s="149"/>
    </row>
    <row r="1613" spans="12:12">
      <c r="L1613" s="149"/>
    </row>
    <row r="1614" spans="12:12">
      <c r="L1614" s="149"/>
    </row>
    <row r="1615" spans="12:12">
      <c r="L1615" s="149"/>
    </row>
    <row r="1616" spans="12:12">
      <c r="L1616" s="149"/>
    </row>
    <row r="1617" spans="12:12">
      <c r="L1617" s="149"/>
    </row>
    <row r="1618" spans="12:12">
      <c r="L1618" s="149"/>
    </row>
    <row r="1619" spans="12:12">
      <c r="L1619" s="149"/>
    </row>
    <row r="1620" spans="12:12">
      <c r="L1620" s="149"/>
    </row>
    <row r="1621" spans="12:12">
      <c r="L1621" s="149"/>
    </row>
    <row r="1622" spans="12:12">
      <c r="L1622" s="149"/>
    </row>
    <row r="1623" spans="12:12">
      <c r="L1623" s="149"/>
    </row>
    <row r="1624" spans="12:12">
      <c r="L1624" s="149"/>
    </row>
    <row r="1625" spans="12:12">
      <c r="L1625" s="149"/>
    </row>
    <row r="1626" spans="12:12">
      <c r="L1626" s="149"/>
    </row>
    <row r="1627" spans="12:12">
      <c r="L1627" s="149"/>
    </row>
    <row r="1628" spans="12:12">
      <c r="L1628" s="149"/>
    </row>
    <row r="1629" spans="12:12">
      <c r="L1629" s="149"/>
    </row>
    <row r="1630" spans="12:12">
      <c r="L1630" s="149"/>
    </row>
    <row r="1631" spans="12:12">
      <c r="L1631" s="149"/>
    </row>
    <row r="1632" spans="12:12">
      <c r="L1632" s="149"/>
    </row>
    <row r="1633" spans="12:12">
      <c r="L1633" s="149"/>
    </row>
    <row r="1634" spans="12:12">
      <c r="L1634" s="149"/>
    </row>
    <row r="1635" spans="12:12">
      <c r="L1635" s="149"/>
    </row>
    <row r="1636" spans="12:12">
      <c r="L1636" s="149"/>
    </row>
    <row r="1637" spans="12:12">
      <c r="L1637" s="149"/>
    </row>
    <row r="1638" spans="12:12">
      <c r="L1638" s="149"/>
    </row>
    <row r="1639" spans="12:12">
      <c r="L1639" s="149"/>
    </row>
    <row r="1640" spans="12:12">
      <c r="L1640" s="149"/>
    </row>
    <row r="1641" spans="12:12">
      <c r="L1641" s="149"/>
    </row>
    <row r="1642" spans="12:12">
      <c r="L1642" s="149"/>
    </row>
    <row r="1643" spans="12:12">
      <c r="L1643" s="149"/>
    </row>
    <row r="1644" spans="12:12">
      <c r="L1644" s="149"/>
    </row>
    <row r="1645" spans="12:12">
      <c r="L1645" s="149"/>
    </row>
    <row r="1646" spans="12:12">
      <c r="L1646" s="149"/>
    </row>
    <row r="1647" spans="12:12">
      <c r="L1647" s="149"/>
    </row>
    <row r="1648" spans="12:12">
      <c r="L1648" s="149"/>
    </row>
    <row r="1649" spans="12:12">
      <c r="L1649" s="149"/>
    </row>
    <row r="1650" spans="12:12">
      <c r="L1650" s="149"/>
    </row>
    <row r="1651" spans="12:12">
      <c r="L1651" s="149"/>
    </row>
    <row r="1652" spans="12:12">
      <c r="L1652" s="149"/>
    </row>
    <row r="1653" spans="12:12">
      <c r="L1653" s="149"/>
    </row>
    <row r="1654" spans="12:12">
      <c r="L1654" s="149"/>
    </row>
    <row r="1655" spans="12:12">
      <c r="L1655" s="149"/>
    </row>
    <row r="1656" spans="12:12">
      <c r="L1656" s="149"/>
    </row>
    <row r="1657" spans="12:12">
      <c r="L1657" s="149"/>
    </row>
    <row r="1658" spans="12:12">
      <c r="L1658" s="149"/>
    </row>
    <row r="1659" spans="12:12">
      <c r="L1659" s="149"/>
    </row>
    <row r="1660" spans="12:12">
      <c r="L1660" s="149"/>
    </row>
    <row r="1661" spans="12:12">
      <c r="L1661" s="149"/>
    </row>
    <row r="1662" spans="12:12">
      <c r="L1662" s="149"/>
    </row>
    <row r="1663" spans="12:12">
      <c r="L1663" s="149"/>
    </row>
    <row r="1664" spans="12:12">
      <c r="L1664" s="149"/>
    </row>
    <row r="1665" spans="12:12">
      <c r="L1665" s="149"/>
    </row>
    <row r="1666" spans="12:12">
      <c r="L1666" s="149"/>
    </row>
    <row r="1667" spans="12:12">
      <c r="L1667" s="149"/>
    </row>
    <row r="1668" spans="12:12">
      <c r="L1668" s="149"/>
    </row>
    <row r="1669" spans="12:12">
      <c r="L1669" s="149"/>
    </row>
    <row r="1670" spans="12:12">
      <c r="L1670" s="149"/>
    </row>
    <row r="1671" spans="12:12">
      <c r="L1671" s="149"/>
    </row>
    <row r="1672" spans="12:12">
      <c r="L1672" s="149"/>
    </row>
    <row r="1673" spans="12:12">
      <c r="L1673" s="149"/>
    </row>
    <row r="1674" spans="12:12">
      <c r="L1674" s="149"/>
    </row>
    <row r="1675" spans="12:12">
      <c r="L1675" s="149"/>
    </row>
    <row r="1676" spans="12:12">
      <c r="L1676" s="149"/>
    </row>
    <row r="1677" spans="12:12">
      <c r="L1677" s="149"/>
    </row>
    <row r="1678" spans="12:12">
      <c r="L1678" s="149"/>
    </row>
    <row r="1679" spans="12:12">
      <c r="L1679" s="149"/>
    </row>
    <row r="1680" spans="12:12">
      <c r="L1680" s="149"/>
    </row>
    <row r="1681" spans="12:12">
      <c r="L1681" s="149"/>
    </row>
    <row r="1682" spans="12:12">
      <c r="L1682" s="149"/>
    </row>
    <row r="1683" spans="12:12">
      <c r="L1683" s="149"/>
    </row>
    <row r="1684" spans="12:12">
      <c r="L1684" s="149"/>
    </row>
    <row r="1685" spans="12:12">
      <c r="L1685" s="149"/>
    </row>
    <row r="1686" spans="12:12">
      <c r="L1686" s="149"/>
    </row>
    <row r="1687" spans="12:12">
      <c r="L1687" s="149"/>
    </row>
    <row r="1688" spans="12:12">
      <c r="L1688" s="149"/>
    </row>
    <row r="1689" spans="12:12">
      <c r="L1689" s="149"/>
    </row>
    <row r="1690" spans="12:12">
      <c r="L1690" s="149"/>
    </row>
    <row r="1691" spans="12:12">
      <c r="L1691" s="149"/>
    </row>
    <row r="1692" spans="12:12">
      <c r="L1692" s="149"/>
    </row>
    <row r="1693" spans="12:12">
      <c r="L1693" s="149"/>
    </row>
    <row r="1694" spans="12:12">
      <c r="L1694" s="149"/>
    </row>
    <row r="1695" spans="12:12">
      <c r="L1695" s="149"/>
    </row>
    <row r="1696" spans="12:12">
      <c r="L1696" s="149"/>
    </row>
    <row r="1697" spans="12:12">
      <c r="L1697" s="149"/>
    </row>
    <row r="1698" spans="12:12">
      <c r="L1698" s="149"/>
    </row>
    <row r="1699" spans="12:12">
      <c r="L1699" s="149"/>
    </row>
    <row r="1700" spans="12:12">
      <c r="L1700" s="149"/>
    </row>
    <row r="1701" spans="12:12">
      <c r="L1701" s="149"/>
    </row>
    <row r="1702" spans="12:12">
      <c r="L1702" s="149"/>
    </row>
    <row r="1703" spans="12:12">
      <c r="L1703" s="149"/>
    </row>
    <row r="1704" spans="12:12">
      <c r="L1704" s="149"/>
    </row>
    <row r="1705" spans="12:12">
      <c r="L1705" s="149"/>
    </row>
    <row r="1706" spans="12:12">
      <c r="L1706" s="149"/>
    </row>
    <row r="1707" spans="12:12">
      <c r="L1707" s="149"/>
    </row>
    <row r="1708" spans="12:12">
      <c r="L1708" s="149"/>
    </row>
    <row r="1709" spans="12:12">
      <c r="L1709" s="149"/>
    </row>
    <row r="1710" spans="12:12">
      <c r="L1710" s="149"/>
    </row>
    <row r="1711" spans="12:12">
      <c r="L1711" s="149"/>
    </row>
    <row r="1712" spans="12:12">
      <c r="L1712" s="149"/>
    </row>
    <row r="1713" spans="12:12">
      <c r="L1713" s="149"/>
    </row>
    <row r="1714" spans="12:12">
      <c r="L1714" s="149"/>
    </row>
    <row r="1715" spans="12:12">
      <c r="L1715" s="149"/>
    </row>
    <row r="1716" spans="12:12">
      <c r="L1716" s="149"/>
    </row>
    <row r="1717" spans="12:12">
      <c r="L1717" s="149"/>
    </row>
    <row r="1718" spans="12:12">
      <c r="L1718" s="149"/>
    </row>
    <row r="1719" spans="12:12">
      <c r="L1719" s="149"/>
    </row>
    <row r="1720" spans="12:12">
      <c r="L1720" s="149"/>
    </row>
    <row r="1721" spans="12:12">
      <c r="L1721" s="149"/>
    </row>
    <row r="1722" spans="12:12">
      <c r="L1722" s="149"/>
    </row>
    <row r="1723" spans="12:12">
      <c r="L1723" s="149"/>
    </row>
    <row r="1724" spans="12:12">
      <c r="L1724" s="149"/>
    </row>
    <row r="1725" spans="12:12">
      <c r="L1725" s="149"/>
    </row>
    <row r="1726" spans="12:12">
      <c r="L1726" s="149"/>
    </row>
    <row r="1727" spans="12:12">
      <c r="L1727" s="149"/>
    </row>
    <row r="1728" spans="12:12">
      <c r="L1728" s="149"/>
    </row>
    <row r="1729" spans="12:12">
      <c r="L1729" s="149"/>
    </row>
    <row r="1730" spans="12:12">
      <c r="L1730" s="149"/>
    </row>
    <row r="1731" spans="12:12">
      <c r="L1731" s="149"/>
    </row>
    <row r="1732" spans="12:12">
      <c r="L1732" s="149"/>
    </row>
    <row r="1733" spans="12:12">
      <c r="L1733" s="149"/>
    </row>
    <row r="1734" spans="12:12">
      <c r="L1734" s="149"/>
    </row>
    <row r="1735" spans="12:12">
      <c r="L1735" s="149"/>
    </row>
    <row r="1736" spans="12:12">
      <c r="L1736" s="149"/>
    </row>
    <row r="1737" spans="12:12">
      <c r="L1737" s="149"/>
    </row>
    <row r="1738" spans="12:12">
      <c r="L1738" s="149"/>
    </row>
    <row r="1739" spans="12:12">
      <c r="L1739" s="149"/>
    </row>
    <row r="1740" spans="12:12">
      <c r="L1740" s="149"/>
    </row>
    <row r="1741" spans="12:12">
      <c r="L1741" s="149"/>
    </row>
    <row r="1742" spans="12:12">
      <c r="L1742" s="149"/>
    </row>
    <row r="1743" spans="12:12">
      <c r="L1743" s="149"/>
    </row>
    <row r="1744" spans="12:12">
      <c r="L1744" s="149"/>
    </row>
    <row r="1745" spans="12:12">
      <c r="L1745" s="149"/>
    </row>
    <row r="1746" spans="12:12">
      <c r="L1746" s="149"/>
    </row>
    <row r="1747" spans="12:12">
      <c r="L1747" s="149"/>
    </row>
    <row r="1748" spans="12:12">
      <c r="L1748" s="149"/>
    </row>
    <row r="1749" spans="12:12">
      <c r="L1749" s="149"/>
    </row>
    <row r="1750" spans="12:12">
      <c r="L1750" s="149"/>
    </row>
    <row r="1751" spans="12:12">
      <c r="L1751" s="149"/>
    </row>
    <row r="1752" spans="12:12">
      <c r="L1752" s="149"/>
    </row>
    <row r="1753" spans="12:12">
      <c r="L1753" s="149"/>
    </row>
    <row r="1754" spans="12:12">
      <c r="L1754" s="149"/>
    </row>
    <row r="1755" spans="12:12">
      <c r="L1755" s="149"/>
    </row>
    <row r="1756" spans="12:12">
      <c r="L1756" s="149"/>
    </row>
    <row r="1757" spans="12:12">
      <c r="L1757" s="149"/>
    </row>
    <row r="1758" spans="12:12">
      <c r="L1758" s="149"/>
    </row>
    <row r="1759" spans="12:12">
      <c r="L1759" s="149"/>
    </row>
    <row r="1760" spans="12:12">
      <c r="L1760" s="149"/>
    </row>
    <row r="1761" spans="12:12">
      <c r="L1761" s="149"/>
    </row>
    <row r="1762" spans="12:12">
      <c r="L1762" s="149"/>
    </row>
    <row r="1763" spans="12:12">
      <c r="L1763" s="149"/>
    </row>
    <row r="1764" spans="12:12">
      <c r="L1764" s="149"/>
    </row>
    <row r="1765" spans="12:12">
      <c r="L1765" s="149"/>
    </row>
    <row r="1766" spans="12:12">
      <c r="L1766" s="149"/>
    </row>
    <row r="1767" spans="12:12">
      <c r="L1767" s="149"/>
    </row>
    <row r="1768" spans="12:12">
      <c r="L1768" s="149"/>
    </row>
    <row r="1769" spans="12:12">
      <c r="L1769" s="149"/>
    </row>
    <row r="1770" spans="12:12">
      <c r="L1770" s="149"/>
    </row>
    <row r="1771" spans="12:12">
      <c r="L1771" s="149"/>
    </row>
    <row r="1772" spans="12:12">
      <c r="L1772" s="149"/>
    </row>
    <row r="1773" spans="12:12">
      <c r="L1773" s="149"/>
    </row>
    <row r="1774" spans="12:12">
      <c r="L1774" s="149"/>
    </row>
    <row r="1775" spans="12:12">
      <c r="L1775" s="149"/>
    </row>
    <row r="1776" spans="12:12">
      <c r="L1776" s="149"/>
    </row>
    <row r="1777" spans="12:12">
      <c r="L1777" s="149"/>
    </row>
    <row r="1778" spans="12:12">
      <c r="L1778" s="149"/>
    </row>
    <row r="1779" spans="12:12">
      <c r="L1779" s="149"/>
    </row>
    <row r="1780" spans="12:12">
      <c r="L1780" s="149"/>
    </row>
    <row r="1781" spans="12:12">
      <c r="L1781" s="149"/>
    </row>
    <row r="1782" spans="12:12">
      <c r="L1782" s="149"/>
    </row>
    <row r="1783" spans="12:12">
      <c r="L1783" s="149"/>
    </row>
    <row r="1784" spans="12:12">
      <c r="L1784" s="149"/>
    </row>
    <row r="1785" spans="12:12">
      <c r="L1785" s="149"/>
    </row>
    <row r="1786" spans="12:12">
      <c r="L1786" s="149"/>
    </row>
    <row r="1787" spans="12:12">
      <c r="L1787" s="149"/>
    </row>
    <row r="1788" spans="12:12">
      <c r="L1788" s="149"/>
    </row>
    <row r="1789" spans="12:12">
      <c r="L1789" s="149"/>
    </row>
    <row r="1790" spans="12:12">
      <c r="L1790" s="149"/>
    </row>
    <row r="1791" spans="12:12">
      <c r="L1791" s="149"/>
    </row>
    <row r="1792" spans="12:12">
      <c r="L1792" s="149"/>
    </row>
    <row r="1793" spans="12:12">
      <c r="L1793" s="149"/>
    </row>
    <row r="1794" spans="12:12">
      <c r="L1794" s="149"/>
    </row>
    <row r="1795" spans="12:12">
      <c r="L1795" s="149"/>
    </row>
    <row r="1796" spans="12:12">
      <c r="L1796" s="149"/>
    </row>
    <row r="1797" spans="12:12">
      <c r="L1797" s="149"/>
    </row>
    <row r="1798" spans="12:12">
      <c r="L1798" s="149"/>
    </row>
    <row r="1799" spans="12:12">
      <c r="L1799" s="149"/>
    </row>
    <row r="1800" spans="12:12">
      <c r="L1800" s="149"/>
    </row>
  </sheetData>
  <sheetProtection autoFilter="0"/>
  <autoFilter ref="A3:L1800" xr:uid="{C84DFD8E-77BD-4EBF-9147-4AEF0038EFDA}"/>
  <mergeCells count="1">
    <mergeCell ref="A2:C2"/>
  </mergeCells>
  <pageMargins left="0.70866141732283472" right="0.70866141732283472" top="0.74803149606299213" bottom="0.74803149606299213" header="0.31496062992125984" footer="0.31496062992125984"/>
  <pageSetup paperSize="9" scale="34"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C11"/>
  <sheetViews>
    <sheetView view="pageBreakPreview" zoomScaleNormal="100" zoomScaleSheetLayoutView="100" workbookViewId="0">
      <selection activeCell="F37" sqref="F37"/>
    </sheetView>
  </sheetViews>
  <sheetFormatPr defaultColWidth="9.140625" defaultRowHeight="14.45"/>
  <cols>
    <col min="1" max="1" width="106.28515625" style="81" customWidth="1"/>
    <col min="2" max="10" width="9.140625" style="81"/>
    <col min="11" max="11" width="8.7109375" style="81" customWidth="1"/>
    <col min="12" max="16384" width="9.140625" style="81"/>
  </cols>
  <sheetData>
    <row r="11" spans="3:3">
      <c r="C11" s="82"/>
    </row>
  </sheetData>
  <sheetProtection algorithmName="SHA-512" hashValue="1pPuRNqKka3S79I5DiLYdBZqs2rOD+XAGU0lBfazrW7IMLMLNuWbVMvUNXdowKYWx3hB2z45UNfPPFB7etCk0A==" saltValue="7a/wJ0yxAdcxN5IoBW8aHA==" spinCount="100000" sheet="1" objects="1" scenarios="1"/>
  <printOptions horizontalCentered="1" verticalCentered="1"/>
  <pageMargins left="0.19685039370078741" right="0.19685039370078741" top="0.19685039370078741" bottom="0.19685039370078741" header="0" footer="0"/>
  <pageSetup paperSize="9" fitToWidth="0" orientation="portrait" r:id="rId1"/>
  <rowBreaks count="1" manualBreakCount="1">
    <brk id="41" max="16383" man="1"/>
  </rowBreaks>
  <colBreaks count="1" manualBreakCount="1">
    <brk id="9" max="1048575"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D6FC1-4ED3-402B-8917-6BFAFD857F8F}">
  <sheetPr codeName="Sheet10">
    <tabColor theme="2" tint="0.79998168889431442"/>
  </sheetPr>
  <dimension ref="A1:AD255"/>
  <sheetViews>
    <sheetView showGridLines="0" view="pageBreakPreview" zoomScale="90" zoomScaleNormal="80" zoomScaleSheetLayoutView="90" workbookViewId="0">
      <selection activeCell="D49" sqref="D49"/>
    </sheetView>
  </sheetViews>
  <sheetFormatPr defaultColWidth="9.140625" defaultRowHeight="14.45"/>
  <cols>
    <col min="1" max="1" width="24.85546875" style="92" customWidth="1"/>
    <col min="2" max="3" width="13.28515625" style="92" customWidth="1"/>
    <col min="4" max="4" width="7.42578125" style="92" customWidth="1"/>
    <col min="5" max="5" width="23.140625" style="92" customWidth="1"/>
    <col min="6" max="7" width="13.28515625" style="92" customWidth="1"/>
    <col min="8" max="30" width="9.140625" style="92"/>
    <col min="31" max="16384" width="9.140625" style="90"/>
  </cols>
  <sheetData>
    <row r="1" spans="1:30" ht="42" customHeight="1">
      <c r="A1" s="89" t="s">
        <v>114</v>
      </c>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row>
    <row r="2" spans="1:30" ht="21.75" customHeight="1">
      <c r="A2" s="106">
        <f>Calculations!B20</f>
        <v>44927</v>
      </c>
      <c r="B2" s="106"/>
      <c r="C2" s="106"/>
      <c r="D2" s="106"/>
      <c r="E2" s="106"/>
    </row>
    <row r="4" spans="1:30">
      <c r="A4" s="91" t="s">
        <v>17</v>
      </c>
      <c r="B4" s="237">
        <v>44105</v>
      </c>
      <c r="C4" s="237"/>
    </row>
    <row r="5" spans="1:30">
      <c r="H5" s="135"/>
      <c r="I5" s="135"/>
      <c r="J5" s="135"/>
      <c r="K5" s="135"/>
      <c r="L5" s="135"/>
      <c r="M5" s="135"/>
      <c r="N5" s="135"/>
    </row>
    <row r="6" spans="1:30">
      <c r="A6" s="93" t="s">
        <v>115</v>
      </c>
      <c r="B6" s="93"/>
      <c r="C6" s="94">
        <f>B4</f>
        <v>44105</v>
      </c>
      <c r="E6" s="95" t="s">
        <v>639</v>
      </c>
      <c r="F6" s="95"/>
      <c r="G6" s="103" t="e">
        <f>INDEX(Calculations!E15:E27,MATCH('Waste Summary (2)'!C6,Calculations!F15:F27,0),1)</f>
        <v>#N/A</v>
      </c>
      <c r="H6" s="163"/>
      <c r="I6" s="163" t="str">
        <f>A6</f>
        <v>Current Year</v>
      </c>
      <c r="J6" s="163" t="str">
        <f>I6</f>
        <v>Current Year</v>
      </c>
      <c r="K6" s="163" t="str">
        <f>E6</f>
        <v>Previous Year</v>
      </c>
      <c r="L6" s="163" t="str">
        <f>K6</f>
        <v>Previous Year</v>
      </c>
      <c r="M6" s="135"/>
      <c r="N6" s="135"/>
    </row>
    <row r="7" spans="1:30">
      <c r="A7" s="93" t="s">
        <v>96</v>
      </c>
      <c r="B7" s="96" t="s">
        <v>29</v>
      </c>
      <c r="C7" s="96" t="s">
        <v>116</v>
      </c>
      <c r="E7" s="95" t="s">
        <v>96</v>
      </c>
      <c r="F7" s="97" t="s">
        <v>29</v>
      </c>
      <c r="G7" s="97" t="s">
        <v>116</v>
      </c>
      <c r="H7" s="163"/>
      <c r="I7" s="163" t="str">
        <f>B7</f>
        <v>Spend</v>
      </c>
      <c r="J7" s="163" t="str">
        <f>C7</f>
        <v>Weight (t)</v>
      </c>
      <c r="K7" s="163" t="str">
        <f>F7</f>
        <v>Spend</v>
      </c>
      <c r="L7" s="163" t="str">
        <f>G7</f>
        <v>Weight (t)</v>
      </c>
      <c r="M7" s="135"/>
      <c r="N7" s="135"/>
    </row>
    <row r="8" spans="1:30">
      <c r="A8" s="98" t="str">
        <f>'FYTD Tonnage vs Spend'!$A6</f>
        <v>General</v>
      </c>
      <c r="B8" s="198">
        <f>SUMIFS('Transaction Data'!$L:$L,'Transaction Data'!$A:$A,$B$4,'Transaction Data'!$E:$E,$A8)</f>
        <v>0</v>
      </c>
      <c r="C8" s="104">
        <f>SUMIFS('Transaction Data'!$K:$K,'Transaction Data'!$A:$A,$B$4,'Transaction Data'!$E:$E,$A8)/1000</f>
        <v>0</v>
      </c>
      <c r="E8" s="98" t="str">
        <f>A8</f>
        <v>General</v>
      </c>
      <c r="F8" s="198">
        <f>SUMIFS('Transaction Data'!$L:$L,'Transaction Data'!$A:$A,$G$6,'Transaction Data'!$E:$E,$A8)</f>
        <v>0</v>
      </c>
      <c r="G8" s="104">
        <f>SUMIFS('Transaction Data'!$K:$K,'Transaction Data'!$A:$A,$G$6,'Transaction Data'!$E:$E,$A8)/1000</f>
        <v>0</v>
      </c>
      <c r="H8" s="163"/>
      <c r="I8" s="164" t="e">
        <f>IF(B8/$B$36&lt;=0,#N/A,B8/$B$36)</f>
        <v>#DIV/0!</v>
      </c>
      <c r="J8" s="164" t="e">
        <f>IF(C8/$C$36&lt;=0,#N/A,C8/$C$36)</f>
        <v>#DIV/0!</v>
      </c>
      <c r="K8" s="164" t="e">
        <f>IF(F8/$F$36&lt;=0,#N/A,F8/$F$36)</f>
        <v>#DIV/0!</v>
      </c>
      <c r="L8" s="164" t="e">
        <f>IF(G8/$G$36&lt;=0,#N/A,G8/$G$36)</f>
        <v>#DIV/0!</v>
      </c>
      <c r="M8" s="135"/>
      <c r="N8" s="135"/>
    </row>
    <row r="9" spans="1:30" hidden="1">
      <c r="A9" s="98">
        <f>'FYTD Tonnage vs Spend'!$A7</f>
        <v>0</v>
      </c>
      <c r="B9" s="198">
        <f>SUMIFS('Transaction Data'!$L:$L,'Transaction Data'!$A:$A,$B$4,'Transaction Data'!$E:$E,$A9)</f>
        <v>0</v>
      </c>
      <c r="C9" s="104">
        <f>SUMIFS('Transaction Data'!$K:$K,'Transaction Data'!$A:$A,$B$4,'Transaction Data'!$E:$E,$A9)/1000</f>
        <v>0</v>
      </c>
      <c r="E9" s="98">
        <f t="shared" ref="E9:E35" si="0">A9</f>
        <v>0</v>
      </c>
      <c r="F9" s="198">
        <f>SUMIFS('Transaction Data'!$L:$L,'Transaction Data'!$A:$A,$G$6,'Transaction Data'!$E:$E,$A9)</f>
        <v>0</v>
      </c>
      <c r="G9" s="104">
        <f>SUMIFS('Transaction Data'!$K:$K,'Transaction Data'!$A:$A,$G$6,'Transaction Data'!$E:$E,$A9)/1000</f>
        <v>0</v>
      </c>
      <c r="H9" s="163"/>
      <c r="I9" s="164" t="e">
        <f t="shared" ref="I9:I35" si="1">IF(B9/$B$36&lt;=0,#N/A,B9/$B$36)</f>
        <v>#DIV/0!</v>
      </c>
      <c r="J9" s="164" t="e">
        <f t="shared" ref="J9:J35" si="2">IF(C9/$C$36&lt;=0,#N/A,C9/$C$36)</f>
        <v>#DIV/0!</v>
      </c>
      <c r="K9" s="164" t="e">
        <f t="shared" ref="K9:K35" si="3">IF(F9/$F$36&lt;=0,#N/A,F9/$F$36)</f>
        <v>#DIV/0!</v>
      </c>
      <c r="L9" s="164" t="e">
        <f t="shared" ref="L9:L35" si="4">IF(G9/$G$36&lt;=0,#N/A,G9/$G$36)</f>
        <v>#DIV/0!</v>
      </c>
      <c r="M9" s="135"/>
      <c r="N9" s="135"/>
    </row>
    <row r="10" spans="1:30" hidden="1">
      <c r="A10" s="98">
        <f>'FYTD Tonnage vs Spend'!$A8</f>
        <v>0</v>
      </c>
      <c r="B10" s="198">
        <f>SUMIFS('Transaction Data'!$L:$L,'Transaction Data'!$A:$A,$B$4,'Transaction Data'!$E:$E,$A10)</f>
        <v>0</v>
      </c>
      <c r="C10" s="104">
        <f>SUMIFS('Transaction Data'!$K:$K,'Transaction Data'!$A:$A,$B$4,'Transaction Data'!$E:$E,$A10)/1000</f>
        <v>0</v>
      </c>
      <c r="E10" s="98">
        <f t="shared" si="0"/>
        <v>0</v>
      </c>
      <c r="F10" s="198">
        <f>SUMIFS('Transaction Data'!$L:$L,'Transaction Data'!$A:$A,$G$6,'Transaction Data'!$E:$E,$A10)</f>
        <v>0</v>
      </c>
      <c r="G10" s="104">
        <f>SUMIFS('Transaction Data'!$K:$K,'Transaction Data'!$A:$A,$G$6,'Transaction Data'!$E:$E,$A10)/1000</f>
        <v>0</v>
      </c>
      <c r="H10" s="163"/>
      <c r="I10" s="164" t="e">
        <f t="shared" si="1"/>
        <v>#DIV/0!</v>
      </c>
      <c r="J10" s="164" t="e">
        <f t="shared" si="2"/>
        <v>#DIV/0!</v>
      </c>
      <c r="K10" s="164" t="e">
        <f t="shared" si="3"/>
        <v>#DIV/0!</v>
      </c>
      <c r="L10" s="164" t="e">
        <f t="shared" si="4"/>
        <v>#DIV/0!</v>
      </c>
      <c r="M10" s="135"/>
      <c r="N10" s="135"/>
    </row>
    <row r="11" spans="1:30" hidden="1">
      <c r="A11" s="98">
        <f>'FYTD Tonnage vs Spend'!$A9</f>
        <v>0</v>
      </c>
      <c r="B11" s="198">
        <f>SUMIFS('Transaction Data'!$L:$L,'Transaction Data'!$A:$A,$B$4,'Transaction Data'!$E:$E,$A11)</f>
        <v>0</v>
      </c>
      <c r="C11" s="104">
        <f>SUMIFS('Transaction Data'!$K:$K,'Transaction Data'!$A:$A,$B$4,'Transaction Data'!$E:$E,$A11)/1000</f>
        <v>0</v>
      </c>
      <c r="E11" s="98">
        <f t="shared" si="0"/>
        <v>0</v>
      </c>
      <c r="F11" s="198">
        <f>SUMIFS('Transaction Data'!$L:$L,'Transaction Data'!$A:$A,$G$6,'Transaction Data'!$E:$E,$A11)</f>
        <v>0</v>
      </c>
      <c r="G11" s="104">
        <f>SUMIFS('Transaction Data'!$K:$K,'Transaction Data'!$A:$A,$G$6,'Transaction Data'!$E:$E,$A11)/1000</f>
        <v>0</v>
      </c>
      <c r="H11" s="163"/>
      <c r="I11" s="164" t="e">
        <f t="shared" si="1"/>
        <v>#DIV/0!</v>
      </c>
      <c r="J11" s="164" t="e">
        <f t="shared" si="2"/>
        <v>#DIV/0!</v>
      </c>
      <c r="K11" s="164" t="e">
        <f t="shared" si="3"/>
        <v>#DIV/0!</v>
      </c>
      <c r="L11" s="164" t="e">
        <f t="shared" si="4"/>
        <v>#DIV/0!</v>
      </c>
      <c r="M11" s="135"/>
      <c r="N11" s="135"/>
    </row>
    <row r="12" spans="1:30" hidden="1">
      <c r="A12" s="98">
        <f>'FYTD Tonnage vs Spend'!$A10</f>
        <v>0</v>
      </c>
      <c r="B12" s="198">
        <f>SUMIFS('Transaction Data'!$L:$L,'Transaction Data'!$A:$A,$B$4,'Transaction Data'!$E:$E,$A12)</f>
        <v>0</v>
      </c>
      <c r="C12" s="104">
        <f>SUMIFS('Transaction Data'!$K:$K,'Transaction Data'!$A:$A,$B$4,'Transaction Data'!$E:$E,$A12)/1000</f>
        <v>0</v>
      </c>
      <c r="E12" s="98">
        <f t="shared" si="0"/>
        <v>0</v>
      </c>
      <c r="F12" s="198">
        <f>SUMIFS('Transaction Data'!$L:$L,'Transaction Data'!$A:$A,$G$6,'Transaction Data'!$E:$E,$A12)</f>
        <v>0</v>
      </c>
      <c r="G12" s="104">
        <f>SUMIFS('Transaction Data'!$K:$K,'Transaction Data'!$A:$A,$G$6,'Transaction Data'!$E:$E,$A12)/1000</f>
        <v>0</v>
      </c>
      <c r="H12" s="163"/>
      <c r="I12" s="164" t="e">
        <f t="shared" si="1"/>
        <v>#DIV/0!</v>
      </c>
      <c r="J12" s="164" t="e">
        <f t="shared" si="2"/>
        <v>#DIV/0!</v>
      </c>
      <c r="K12" s="164" t="e">
        <f t="shared" si="3"/>
        <v>#DIV/0!</v>
      </c>
      <c r="L12" s="164" t="e">
        <f t="shared" si="4"/>
        <v>#DIV/0!</v>
      </c>
      <c r="M12" s="135"/>
      <c r="N12" s="135"/>
    </row>
    <row r="13" spans="1:30">
      <c r="A13" s="98" t="str">
        <f>'FYTD Tonnage vs Spend'!$A11</f>
        <v>Recycle</v>
      </c>
      <c r="B13" s="198">
        <f>SUMIFS('Transaction Data'!$L:$L,'Transaction Data'!$A:$A,$B$4,'Transaction Data'!$E:$E,$A13)</f>
        <v>0</v>
      </c>
      <c r="C13" s="104">
        <f>SUMIFS('Transaction Data'!$K:$K,'Transaction Data'!$A:$A,$B$4,'Transaction Data'!$E:$E,$A13)/1000</f>
        <v>0</v>
      </c>
      <c r="E13" s="98" t="str">
        <f t="shared" si="0"/>
        <v>Recycle</v>
      </c>
      <c r="F13" s="198">
        <f>SUMIFS('Transaction Data'!$L:$L,'Transaction Data'!$A:$A,$G$6,'Transaction Data'!$E:$E,$A13)</f>
        <v>0</v>
      </c>
      <c r="G13" s="104">
        <f>SUMIFS('Transaction Data'!$K:$K,'Transaction Data'!$A:$A,$G$6,'Transaction Data'!$E:$E,$A13)/1000</f>
        <v>0</v>
      </c>
      <c r="H13" s="163"/>
      <c r="I13" s="164" t="e">
        <f t="shared" si="1"/>
        <v>#DIV/0!</v>
      </c>
      <c r="J13" s="164" t="e">
        <f t="shared" si="2"/>
        <v>#DIV/0!</v>
      </c>
      <c r="K13" s="164" t="e">
        <f t="shared" si="3"/>
        <v>#DIV/0!</v>
      </c>
      <c r="L13" s="164" t="e">
        <f t="shared" si="4"/>
        <v>#DIV/0!</v>
      </c>
      <c r="M13" s="135"/>
      <c r="N13" s="135"/>
    </row>
    <row r="14" spans="1:30">
      <c r="A14" s="98" t="str">
        <f>'FYTD Tonnage vs Spend'!$A12</f>
        <v>Confidential</v>
      </c>
      <c r="B14" s="198">
        <f>SUMIFS('Transaction Data'!$L:$L,'Transaction Data'!$A:$A,$B$4,'Transaction Data'!$E:$E,$A14)</f>
        <v>0</v>
      </c>
      <c r="C14" s="104">
        <f>SUMIFS('Transaction Data'!$K:$K,'Transaction Data'!$A:$A,$B$4,'Transaction Data'!$E:$E,$A14)/1000</f>
        <v>0</v>
      </c>
      <c r="E14" s="98" t="str">
        <f t="shared" si="0"/>
        <v>Confidential</v>
      </c>
      <c r="F14" s="198">
        <f>SUMIFS('Transaction Data'!$L:$L,'Transaction Data'!$A:$A,$G$6,'Transaction Data'!$E:$E,$A14)</f>
        <v>0</v>
      </c>
      <c r="G14" s="104">
        <f>SUMIFS('Transaction Data'!$K:$K,'Transaction Data'!$A:$A,$G$6,'Transaction Data'!$E:$E,$A14)/1000</f>
        <v>0</v>
      </c>
      <c r="H14" s="163"/>
      <c r="I14" s="164" t="e">
        <f t="shared" si="1"/>
        <v>#DIV/0!</v>
      </c>
      <c r="J14" s="164" t="e">
        <f t="shared" si="2"/>
        <v>#DIV/0!</v>
      </c>
      <c r="K14" s="164" t="e">
        <f t="shared" si="3"/>
        <v>#DIV/0!</v>
      </c>
      <c r="L14" s="164" t="e">
        <f t="shared" si="4"/>
        <v>#DIV/0!</v>
      </c>
      <c r="M14" s="135"/>
      <c r="N14" s="135"/>
    </row>
    <row r="15" spans="1:30">
      <c r="A15" s="98" t="str">
        <f>'FYTD Tonnage vs Spend'!$A13</f>
        <v>Commingle</v>
      </c>
      <c r="B15" s="198">
        <f>SUMIFS('Transaction Data'!$L:$L,'Transaction Data'!$A:$A,$B$4,'Transaction Data'!$E:$E,$A15)</f>
        <v>0</v>
      </c>
      <c r="C15" s="104">
        <f>SUMIFS('Transaction Data'!$K:$K,'Transaction Data'!$A:$A,$B$4,'Transaction Data'!$E:$E,$A15)/1000</f>
        <v>0</v>
      </c>
      <c r="E15" s="98" t="str">
        <f t="shared" si="0"/>
        <v>Commingle</v>
      </c>
      <c r="F15" s="198">
        <f>SUMIFS('Transaction Data'!$L:$L,'Transaction Data'!$A:$A,$G$6,'Transaction Data'!$E:$E,$A15)</f>
        <v>0</v>
      </c>
      <c r="G15" s="104">
        <f>SUMIFS('Transaction Data'!$K:$K,'Transaction Data'!$A:$A,$G$6,'Transaction Data'!$E:$E,$A15)/1000</f>
        <v>0</v>
      </c>
      <c r="H15" s="163"/>
      <c r="I15" s="164" t="e">
        <f t="shared" si="1"/>
        <v>#DIV/0!</v>
      </c>
      <c r="J15" s="164" t="e">
        <f t="shared" si="2"/>
        <v>#DIV/0!</v>
      </c>
      <c r="K15" s="164" t="e">
        <f t="shared" si="3"/>
        <v>#DIV/0!</v>
      </c>
      <c r="L15" s="164" t="e">
        <f t="shared" si="4"/>
        <v>#DIV/0!</v>
      </c>
      <c r="M15" s="135"/>
      <c r="N15" s="135"/>
    </row>
    <row r="16" spans="1:30">
      <c r="A16" s="98" t="str">
        <f>'FYTD Tonnage vs Spend'!$A14</f>
        <v>Timber</v>
      </c>
      <c r="B16" s="198">
        <f>SUMIFS('Transaction Data'!$L:$L,'Transaction Data'!$A:$A,$B$4,'Transaction Data'!$E:$E,$A16)</f>
        <v>0</v>
      </c>
      <c r="C16" s="104">
        <f>SUMIFS('Transaction Data'!$K:$K,'Transaction Data'!$A:$A,$B$4,'Transaction Data'!$E:$E,$A16)/1000</f>
        <v>0</v>
      </c>
      <c r="E16" s="98" t="str">
        <f t="shared" si="0"/>
        <v>Timber</v>
      </c>
      <c r="F16" s="198">
        <f>SUMIFS('Transaction Data'!$L:$L,'Transaction Data'!$A:$A,$G$6,'Transaction Data'!$E:$E,$A16)</f>
        <v>0</v>
      </c>
      <c r="G16" s="104">
        <f>SUMIFS('Transaction Data'!$K:$K,'Transaction Data'!$A:$A,$G$6,'Transaction Data'!$E:$E,$A16)/1000</f>
        <v>0</v>
      </c>
      <c r="H16" s="163"/>
      <c r="I16" s="164" t="e">
        <f t="shared" si="1"/>
        <v>#DIV/0!</v>
      </c>
      <c r="J16" s="164" t="e">
        <f t="shared" si="2"/>
        <v>#DIV/0!</v>
      </c>
      <c r="K16" s="164" t="e">
        <f t="shared" si="3"/>
        <v>#DIV/0!</v>
      </c>
      <c r="L16" s="164" t="e">
        <f t="shared" si="4"/>
        <v>#DIV/0!</v>
      </c>
      <c r="M16" s="135"/>
      <c r="N16" s="135"/>
    </row>
    <row r="17" spans="1:14" hidden="1">
      <c r="A17" s="98"/>
      <c r="B17" s="198">
        <f>SUMIFS('Transaction Data'!$L:$L,'Transaction Data'!$A:$A,$B$4,'Transaction Data'!$E:$E,$A17)</f>
        <v>0</v>
      </c>
      <c r="C17" s="104">
        <f>SUMIFS('Transaction Data'!$K:$K,'Transaction Data'!$A:$A,$B$4,'Transaction Data'!$E:$E,$A17)/1000</f>
        <v>0</v>
      </c>
      <c r="E17" s="98">
        <f t="shared" si="0"/>
        <v>0</v>
      </c>
      <c r="F17" s="198">
        <f>SUMIFS('Transaction Data'!$L:$L,'Transaction Data'!$A:$A,$G$6,'Transaction Data'!$E:$E,$A17)</f>
        <v>0</v>
      </c>
      <c r="G17" s="104">
        <f>SUMIFS('Transaction Data'!$K:$K,'Transaction Data'!$A:$A,$G$6,'Transaction Data'!$E:$E,$A17)/1000</f>
        <v>0</v>
      </c>
      <c r="H17" s="163"/>
      <c r="I17" s="164" t="e">
        <f t="shared" si="1"/>
        <v>#DIV/0!</v>
      </c>
      <c r="J17" s="164" t="e">
        <f t="shared" si="2"/>
        <v>#DIV/0!</v>
      </c>
      <c r="K17" s="164" t="e">
        <f t="shared" si="3"/>
        <v>#DIV/0!</v>
      </c>
      <c r="L17" s="164" t="e">
        <f t="shared" si="4"/>
        <v>#DIV/0!</v>
      </c>
      <c r="M17" s="135"/>
      <c r="N17" s="135"/>
    </row>
    <row r="18" spans="1:14" hidden="1">
      <c r="A18" s="98"/>
      <c r="B18" s="198">
        <f>SUMIFS('Transaction Data'!$L:$L,'Transaction Data'!$A:$A,$B$4,'Transaction Data'!$E:$E,$A18)</f>
        <v>0</v>
      </c>
      <c r="C18" s="104">
        <f>SUMIFS('Transaction Data'!$K:$K,'Transaction Data'!$A:$A,$B$4,'Transaction Data'!$E:$E,$A18)/1000</f>
        <v>0</v>
      </c>
      <c r="E18" s="98">
        <f t="shared" si="0"/>
        <v>0</v>
      </c>
      <c r="F18" s="198">
        <f>SUMIFS('Transaction Data'!$L:$L,'Transaction Data'!$A:$A,$G$6,'Transaction Data'!$E:$E,$A18)</f>
        <v>0</v>
      </c>
      <c r="G18" s="104">
        <f>SUMIFS('Transaction Data'!$K:$K,'Transaction Data'!$A:$A,$G$6,'Transaction Data'!$E:$E,$A18)/1000</f>
        <v>0</v>
      </c>
      <c r="H18" s="163"/>
      <c r="I18" s="164" t="e">
        <f t="shared" si="1"/>
        <v>#DIV/0!</v>
      </c>
      <c r="J18" s="164" t="e">
        <f t="shared" si="2"/>
        <v>#DIV/0!</v>
      </c>
      <c r="K18" s="164" t="e">
        <f t="shared" si="3"/>
        <v>#DIV/0!</v>
      </c>
      <c r="L18" s="164" t="e">
        <f t="shared" si="4"/>
        <v>#DIV/0!</v>
      </c>
      <c r="M18" s="135"/>
      <c r="N18" s="135"/>
    </row>
    <row r="19" spans="1:14" hidden="1">
      <c r="A19" s="98"/>
      <c r="B19" s="198">
        <f>SUMIFS('Transaction Data'!$L:$L,'Transaction Data'!$A:$A,$B$4,'Transaction Data'!$E:$E,$A19)</f>
        <v>0</v>
      </c>
      <c r="C19" s="104">
        <f>SUMIFS('Transaction Data'!$K:$K,'Transaction Data'!$A:$A,$B$4,'Transaction Data'!$E:$E,$A19)/1000</f>
        <v>0</v>
      </c>
      <c r="E19" s="98">
        <f t="shared" si="0"/>
        <v>0</v>
      </c>
      <c r="F19" s="198">
        <f>SUMIFS('Transaction Data'!$L:$L,'Transaction Data'!$A:$A,$G$6,'Transaction Data'!$E:$E,$A19)</f>
        <v>0</v>
      </c>
      <c r="G19" s="104">
        <f>SUMIFS('Transaction Data'!$K:$K,'Transaction Data'!$A:$A,$G$6,'Transaction Data'!$E:$E,$A19)/1000</f>
        <v>0</v>
      </c>
      <c r="H19" s="163"/>
      <c r="I19" s="164" t="e">
        <f t="shared" si="1"/>
        <v>#DIV/0!</v>
      </c>
      <c r="J19" s="164" t="e">
        <f t="shared" si="2"/>
        <v>#DIV/0!</v>
      </c>
      <c r="K19" s="164" t="e">
        <f t="shared" si="3"/>
        <v>#DIV/0!</v>
      </c>
      <c r="L19" s="164" t="e">
        <f t="shared" si="4"/>
        <v>#DIV/0!</v>
      </c>
      <c r="M19" s="135"/>
      <c r="N19" s="135"/>
    </row>
    <row r="20" spans="1:14" hidden="1">
      <c r="A20" s="98"/>
      <c r="B20" s="198">
        <f>SUMIFS('Transaction Data'!$L:$L,'Transaction Data'!$A:$A,$B$4,'Transaction Data'!$E:$E,$A20)</f>
        <v>0</v>
      </c>
      <c r="C20" s="104">
        <f>SUMIFS('Transaction Data'!$K:$K,'Transaction Data'!$A:$A,$B$4,'Transaction Data'!$E:$E,$A20)/1000</f>
        <v>0</v>
      </c>
      <c r="E20" s="98">
        <f t="shared" si="0"/>
        <v>0</v>
      </c>
      <c r="F20" s="198">
        <f>SUMIFS('Transaction Data'!$L:$L,'Transaction Data'!$A:$A,$G$6,'Transaction Data'!$E:$E,$A20)</f>
        <v>0</v>
      </c>
      <c r="G20" s="104">
        <f>SUMIFS('Transaction Data'!$K:$K,'Transaction Data'!$A:$A,$G$6,'Transaction Data'!$E:$E,$A20)/1000</f>
        <v>0</v>
      </c>
      <c r="H20" s="163"/>
      <c r="I20" s="164" t="e">
        <f t="shared" si="1"/>
        <v>#DIV/0!</v>
      </c>
      <c r="J20" s="164" t="e">
        <f t="shared" si="2"/>
        <v>#DIV/0!</v>
      </c>
      <c r="K20" s="164" t="e">
        <f t="shared" si="3"/>
        <v>#DIV/0!</v>
      </c>
      <c r="L20" s="164" t="e">
        <f t="shared" si="4"/>
        <v>#DIV/0!</v>
      </c>
      <c r="M20" s="135"/>
      <c r="N20" s="135"/>
    </row>
    <row r="21" spans="1:14" hidden="1">
      <c r="A21" s="98"/>
      <c r="B21" s="198">
        <f>SUMIFS('Transaction Data'!$L:$L,'Transaction Data'!$A:$A,$B$4,'Transaction Data'!$E:$E,$A21)</f>
        <v>0</v>
      </c>
      <c r="C21" s="104">
        <f>SUMIFS('Transaction Data'!$K:$K,'Transaction Data'!$A:$A,$B$4,'Transaction Data'!$E:$E,$A21)/1000</f>
        <v>0</v>
      </c>
      <c r="E21" s="98">
        <f t="shared" si="0"/>
        <v>0</v>
      </c>
      <c r="F21" s="198">
        <f>SUMIFS('Transaction Data'!$L:$L,'Transaction Data'!$A:$A,$G$6,'Transaction Data'!$E:$E,$A21)</f>
        <v>0</v>
      </c>
      <c r="G21" s="104">
        <f>SUMIFS('Transaction Data'!$K:$K,'Transaction Data'!$A:$A,$G$6,'Transaction Data'!$E:$E,$A21)/1000</f>
        <v>0</v>
      </c>
      <c r="H21" s="163"/>
      <c r="I21" s="164" t="e">
        <f t="shared" si="1"/>
        <v>#DIV/0!</v>
      </c>
      <c r="J21" s="164" t="e">
        <f t="shared" si="2"/>
        <v>#DIV/0!</v>
      </c>
      <c r="K21" s="164" t="e">
        <f t="shared" si="3"/>
        <v>#DIV/0!</v>
      </c>
      <c r="L21" s="164" t="e">
        <f t="shared" si="4"/>
        <v>#DIV/0!</v>
      </c>
      <c r="M21" s="135"/>
      <c r="N21" s="135"/>
    </row>
    <row r="22" spans="1:14" hidden="1">
      <c r="A22" s="98"/>
      <c r="B22" s="198">
        <f>SUMIFS('Transaction Data'!$L:$L,'Transaction Data'!$A:$A,$B$4,'Transaction Data'!$E:$E,$A22)</f>
        <v>0</v>
      </c>
      <c r="C22" s="104">
        <f>SUMIFS('Transaction Data'!$K:$K,'Transaction Data'!$A:$A,$B$4,'Transaction Data'!$E:$E,$A22)/1000</f>
        <v>0</v>
      </c>
      <c r="E22" s="98">
        <f t="shared" si="0"/>
        <v>0</v>
      </c>
      <c r="F22" s="198">
        <f>SUMIFS('Transaction Data'!$L:$L,'Transaction Data'!$A:$A,$G$6,'Transaction Data'!$E:$E,$A22)</f>
        <v>0</v>
      </c>
      <c r="G22" s="104">
        <f>SUMIFS('Transaction Data'!$K:$K,'Transaction Data'!$A:$A,$G$6,'Transaction Data'!$E:$E,$A22)/1000</f>
        <v>0</v>
      </c>
      <c r="H22" s="163"/>
      <c r="I22" s="164" t="e">
        <f t="shared" si="1"/>
        <v>#DIV/0!</v>
      </c>
      <c r="J22" s="164" t="e">
        <f t="shared" si="2"/>
        <v>#DIV/0!</v>
      </c>
      <c r="K22" s="164" t="e">
        <f t="shared" si="3"/>
        <v>#DIV/0!</v>
      </c>
      <c r="L22" s="164" t="e">
        <f t="shared" si="4"/>
        <v>#DIV/0!</v>
      </c>
      <c r="M22" s="135"/>
      <c r="N22" s="135"/>
    </row>
    <row r="23" spans="1:14" hidden="1">
      <c r="A23" s="98"/>
      <c r="B23" s="198">
        <f>SUMIFS('Transaction Data'!$L:$L,'Transaction Data'!$A:$A,$B$4,'Transaction Data'!$E:$E,$A23)</f>
        <v>0</v>
      </c>
      <c r="C23" s="104">
        <f>SUMIFS('Transaction Data'!$K:$K,'Transaction Data'!$A:$A,$B$4,'Transaction Data'!$E:$E,$A23)/1000</f>
        <v>0</v>
      </c>
      <c r="E23" s="98">
        <f t="shared" si="0"/>
        <v>0</v>
      </c>
      <c r="F23" s="198">
        <f>SUMIFS('Transaction Data'!$L:$L,'Transaction Data'!$A:$A,$G$6,'Transaction Data'!$E:$E,$A23)</f>
        <v>0</v>
      </c>
      <c r="G23" s="104">
        <f>SUMIFS('Transaction Data'!$K:$K,'Transaction Data'!$A:$A,$G$6,'Transaction Data'!$E:$E,$A23)/1000</f>
        <v>0</v>
      </c>
      <c r="H23" s="163"/>
      <c r="I23" s="164" t="e">
        <f t="shared" si="1"/>
        <v>#DIV/0!</v>
      </c>
      <c r="J23" s="164" t="e">
        <f t="shared" si="2"/>
        <v>#DIV/0!</v>
      </c>
      <c r="K23" s="164" t="e">
        <f t="shared" si="3"/>
        <v>#DIV/0!</v>
      </c>
      <c r="L23" s="164" t="e">
        <f t="shared" si="4"/>
        <v>#DIV/0!</v>
      </c>
      <c r="M23" s="135"/>
      <c r="N23" s="135"/>
    </row>
    <row r="24" spans="1:14" hidden="1">
      <c r="A24" s="98"/>
      <c r="B24" s="198">
        <f>SUMIFS('Transaction Data'!$L:$L,'Transaction Data'!$A:$A,$B$4,'Transaction Data'!$E:$E,$A24)</f>
        <v>0</v>
      </c>
      <c r="C24" s="104">
        <f>SUMIFS('Transaction Data'!$K:$K,'Transaction Data'!$A:$A,$B$4,'Transaction Data'!$E:$E,$A24)/1000</f>
        <v>0</v>
      </c>
      <c r="E24" s="98">
        <f t="shared" si="0"/>
        <v>0</v>
      </c>
      <c r="F24" s="198">
        <f>SUMIFS('Transaction Data'!$L:$L,'Transaction Data'!$A:$A,$G$6,'Transaction Data'!$E:$E,$A24)</f>
        <v>0</v>
      </c>
      <c r="G24" s="104">
        <f>SUMIFS('Transaction Data'!$K:$K,'Transaction Data'!$A:$A,$G$6,'Transaction Data'!$E:$E,$A24)/1000</f>
        <v>0</v>
      </c>
      <c r="H24" s="163"/>
      <c r="I24" s="164" t="e">
        <f t="shared" si="1"/>
        <v>#DIV/0!</v>
      </c>
      <c r="J24" s="164" t="e">
        <f t="shared" si="2"/>
        <v>#DIV/0!</v>
      </c>
      <c r="K24" s="164" t="e">
        <f t="shared" si="3"/>
        <v>#DIV/0!</v>
      </c>
      <c r="L24" s="164" t="e">
        <f t="shared" si="4"/>
        <v>#DIV/0!</v>
      </c>
      <c r="M24" s="135"/>
      <c r="N24" s="135"/>
    </row>
    <row r="25" spans="1:14" hidden="1">
      <c r="A25" s="98"/>
      <c r="B25" s="198">
        <f>SUMIFS('Transaction Data'!$L:$L,'Transaction Data'!$A:$A,$B$4,'Transaction Data'!$E:$E,$A25)</f>
        <v>0</v>
      </c>
      <c r="C25" s="104">
        <f>SUMIFS('Transaction Data'!$K:$K,'Transaction Data'!$A:$A,$B$4,'Transaction Data'!$E:$E,$A25)/1000</f>
        <v>0</v>
      </c>
      <c r="E25" s="98">
        <f t="shared" si="0"/>
        <v>0</v>
      </c>
      <c r="F25" s="198">
        <f>SUMIFS('Transaction Data'!$L:$L,'Transaction Data'!$A:$A,$G$6,'Transaction Data'!$E:$E,$A25)</f>
        <v>0</v>
      </c>
      <c r="G25" s="104">
        <f>SUMIFS('Transaction Data'!$K:$K,'Transaction Data'!$A:$A,$G$6,'Transaction Data'!$E:$E,$A25)/1000</f>
        <v>0</v>
      </c>
      <c r="H25" s="135"/>
      <c r="I25" s="136" t="e">
        <f t="shared" si="1"/>
        <v>#DIV/0!</v>
      </c>
      <c r="J25" s="136" t="e">
        <f t="shared" si="2"/>
        <v>#DIV/0!</v>
      </c>
      <c r="K25" s="136" t="e">
        <f t="shared" si="3"/>
        <v>#DIV/0!</v>
      </c>
      <c r="L25" s="136" t="e">
        <f t="shared" si="4"/>
        <v>#DIV/0!</v>
      </c>
      <c r="M25" s="135"/>
      <c r="N25" s="135"/>
    </row>
    <row r="26" spans="1:14" hidden="1">
      <c r="A26" s="98"/>
      <c r="B26" s="198">
        <f>SUMIFS('Transaction Data'!$L:$L,'Transaction Data'!$A:$A,$B$4,'Transaction Data'!$E:$E,$A26)</f>
        <v>0</v>
      </c>
      <c r="C26" s="104">
        <f>SUMIFS('Transaction Data'!$K:$K,'Transaction Data'!$A:$A,$B$4,'Transaction Data'!$E:$E,$A26)/1000</f>
        <v>0</v>
      </c>
      <c r="E26" s="98">
        <f t="shared" si="0"/>
        <v>0</v>
      </c>
      <c r="F26" s="198">
        <f>SUMIFS('Transaction Data'!$L:$L,'Transaction Data'!$A:$A,$G$6,'Transaction Data'!$E:$E,$A26)</f>
        <v>0</v>
      </c>
      <c r="G26" s="104">
        <f>SUMIFS('Transaction Data'!$K:$K,'Transaction Data'!$A:$A,$G$6,'Transaction Data'!$E:$E,$A26)/1000</f>
        <v>0</v>
      </c>
      <c r="H26" s="135"/>
      <c r="I26" s="136" t="e">
        <f t="shared" si="1"/>
        <v>#DIV/0!</v>
      </c>
      <c r="J26" s="136" t="e">
        <f t="shared" si="2"/>
        <v>#DIV/0!</v>
      </c>
      <c r="K26" s="136" t="e">
        <f t="shared" si="3"/>
        <v>#DIV/0!</v>
      </c>
      <c r="L26" s="136" t="e">
        <f t="shared" si="4"/>
        <v>#DIV/0!</v>
      </c>
      <c r="M26" s="135"/>
      <c r="N26" s="135"/>
    </row>
    <row r="27" spans="1:14" hidden="1">
      <c r="A27" s="98"/>
      <c r="B27" s="198">
        <f>SUMIFS('Transaction Data'!$L:$L,'Transaction Data'!$A:$A,$B$4,'Transaction Data'!$E:$E,$A27)</f>
        <v>0</v>
      </c>
      <c r="C27" s="104">
        <f>SUMIFS('Transaction Data'!$K:$K,'Transaction Data'!$A:$A,$B$4,'Transaction Data'!$E:$E,$A27)/1000</f>
        <v>0</v>
      </c>
      <c r="E27" s="98">
        <f t="shared" si="0"/>
        <v>0</v>
      </c>
      <c r="F27" s="198">
        <f>SUMIFS('Transaction Data'!$L:$L,'Transaction Data'!$A:$A,$G$6,'Transaction Data'!$E:$E,$A27)</f>
        <v>0</v>
      </c>
      <c r="G27" s="104">
        <f>SUMIFS('Transaction Data'!$K:$K,'Transaction Data'!$A:$A,$G$6,'Transaction Data'!$E:$E,$A27)/1000</f>
        <v>0</v>
      </c>
      <c r="H27" s="135"/>
      <c r="I27" s="136" t="e">
        <f t="shared" si="1"/>
        <v>#DIV/0!</v>
      </c>
      <c r="J27" s="136" t="e">
        <f t="shared" si="2"/>
        <v>#DIV/0!</v>
      </c>
      <c r="K27" s="136" t="e">
        <f t="shared" si="3"/>
        <v>#DIV/0!</v>
      </c>
      <c r="L27" s="136" t="e">
        <f t="shared" si="4"/>
        <v>#DIV/0!</v>
      </c>
      <c r="M27" s="135"/>
      <c r="N27" s="135"/>
    </row>
    <row r="28" spans="1:14" hidden="1">
      <c r="A28" s="98"/>
      <c r="B28" s="198">
        <f>SUMIFS('Transaction Data'!$L:$L,'Transaction Data'!$A:$A,$B$4,'Transaction Data'!$E:$E,$A28)</f>
        <v>0</v>
      </c>
      <c r="C28" s="104">
        <f>SUMIFS('Transaction Data'!$K:$K,'Transaction Data'!$A:$A,$B$4,'Transaction Data'!$E:$E,$A28)/1000</f>
        <v>0</v>
      </c>
      <c r="E28" s="98">
        <f t="shared" si="0"/>
        <v>0</v>
      </c>
      <c r="F28" s="198">
        <f>SUMIFS('Transaction Data'!$L:$L,'Transaction Data'!$A:$A,$G$6,'Transaction Data'!$E:$E,$A28)</f>
        <v>0</v>
      </c>
      <c r="G28" s="104">
        <f>SUMIFS('Transaction Data'!$K:$K,'Transaction Data'!$A:$A,$G$6,'Transaction Data'!$E:$E,$A28)/1000</f>
        <v>0</v>
      </c>
      <c r="H28" s="135"/>
      <c r="I28" s="136" t="e">
        <f t="shared" si="1"/>
        <v>#DIV/0!</v>
      </c>
      <c r="J28" s="136" t="e">
        <f t="shared" si="2"/>
        <v>#DIV/0!</v>
      </c>
      <c r="K28" s="136" t="e">
        <f t="shared" si="3"/>
        <v>#DIV/0!</v>
      </c>
      <c r="L28" s="136" t="e">
        <f t="shared" si="4"/>
        <v>#DIV/0!</v>
      </c>
      <c r="M28" s="135"/>
      <c r="N28" s="135"/>
    </row>
    <row r="29" spans="1:14" hidden="1">
      <c r="A29" s="98"/>
      <c r="B29" s="198">
        <f>SUMIFS('Transaction Data'!$L:$L,'Transaction Data'!$A:$A,$B$4,'Transaction Data'!$E:$E,$A29)</f>
        <v>0</v>
      </c>
      <c r="C29" s="104">
        <f>SUMIFS('Transaction Data'!$K:$K,'Transaction Data'!$A:$A,$B$4,'Transaction Data'!$E:$E,$A29)/1000</f>
        <v>0</v>
      </c>
      <c r="E29" s="98">
        <f t="shared" si="0"/>
        <v>0</v>
      </c>
      <c r="F29" s="198">
        <f>SUMIFS('Transaction Data'!$L:$L,'Transaction Data'!$A:$A,$G$6,'Transaction Data'!$E:$E,$A29)</f>
        <v>0</v>
      </c>
      <c r="G29" s="104">
        <f>SUMIFS('Transaction Data'!$K:$K,'Transaction Data'!$A:$A,$G$6,'Transaction Data'!$E:$E,$A29)/1000</f>
        <v>0</v>
      </c>
      <c r="H29" s="135"/>
      <c r="I29" s="136" t="e">
        <f t="shared" si="1"/>
        <v>#DIV/0!</v>
      </c>
      <c r="J29" s="136" t="e">
        <f t="shared" si="2"/>
        <v>#DIV/0!</v>
      </c>
      <c r="K29" s="136" t="e">
        <f t="shared" si="3"/>
        <v>#DIV/0!</v>
      </c>
      <c r="L29" s="136" t="e">
        <f t="shared" si="4"/>
        <v>#DIV/0!</v>
      </c>
      <c r="M29" s="135"/>
      <c r="N29" s="135"/>
    </row>
    <row r="30" spans="1:14" hidden="1">
      <c r="A30" s="98"/>
      <c r="B30" s="198">
        <f>SUMIFS('Transaction Data'!$L:$L,'Transaction Data'!$A:$A,$B$4,'Transaction Data'!$E:$E,$A30)</f>
        <v>0</v>
      </c>
      <c r="C30" s="104">
        <f>SUMIFS('Transaction Data'!$K:$K,'Transaction Data'!$A:$A,$B$4,'Transaction Data'!$E:$E,$A30)/1000</f>
        <v>0</v>
      </c>
      <c r="E30" s="98">
        <f t="shared" si="0"/>
        <v>0</v>
      </c>
      <c r="F30" s="198">
        <f>SUMIFS('Transaction Data'!$L:$L,'Transaction Data'!$A:$A,$G$6,'Transaction Data'!$E:$E,$A30)</f>
        <v>0</v>
      </c>
      <c r="G30" s="104">
        <f>SUMIFS('Transaction Data'!$K:$K,'Transaction Data'!$A:$A,$G$6,'Transaction Data'!$E:$E,$A30)/1000</f>
        <v>0</v>
      </c>
      <c r="H30" s="135"/>
      <c r="I30" s="136" t="e">
        <f t="shared" si="1"/>
        <v>#DIV/0!</v>
      </c>
      <c r="J30" s="136" t="e">
        <f t="shared" si="2"/>
        <v>#DIV/0!</v>
      </c>
      <c r="K30" s="136" t="e">
        <f t="shared" si="3"/>
        <v>#DIV/0!</v>
      </c>
      <c r="L30" s="136" t="e">
        <f t="shared" si="4"/>
        <v>#DIV/0!</v>
      </c>
      <c r="M30" s="135"/>
      <c r="N30" s="135"/>
    </row>
    <row r="31" spans="1:14" hidden="1">
      <c r="A31" s="98"/>
      <c r="B31" s="198">
        <f>SUMIFS('Transaction Data'!$L:$L,'Transaction Data'!$A:$A,$B$4,'Transaction Data'!$E:$E,$A31)</f>
        <v>0</v>
      </c>
      <c r="C31" s="104">
        <f>SUMIFS('Transaction Data'!$K:$K,'Transaction Data'!$A:$A,$B$4,'Transaction Data'!$E:$E,$A31)/1000</f>
        <v>0</v>
      </c>
      <c r="E31" s="98">
        <f t="shared" si="0"/>
        <v>0</v>
      </c>
      <c r="F31" s="198">
        <f>SUMIFS('Transaction Data'!$L:$L,'Transaction Data'!$A:$A,$G$6,'Transaction Data'!$E:$E,$A31)</f>
        <v>0</v>
      </c>
      <c r="G31" s="104">
        <f>SUMIFS('Transaction Data'!$K:$K,'Transaction Data'!$A:$A,$G$6,'Transaction Data'!$E:$E,$A31)/1000</f>
        <v>0</v>
      </c>
      <c r="H31" s="135"/>
      <c r="I31" s="136" t="e">
        <f t="shared" si="1"/>
        <v>#DIV/0!</v>
      </c>
      <c r="J31" s="136" t="e">
        <f t="shared" si="2"/>
        <v>#DIV/0!</v>
      </c>
      <c r="K31" s="136" t="e">
        <f t="shared" si="3"/>
        <v>#DIV/0!</v>
      </c>
      <c r="L31" s="136" t="e">
        <f t="shared" si="4"/>
        <v>#DIV/0!</v>
      </c>
      <c r="M31" s="135"/>
      <c r="N31" s="135"/>
    </row>
    <row r="32" spans="1:14" hidden="1">
      <c r="A32" s="98"/>
      <c r="B32" s="198">
        <f>SUMIFS('Transaction Data'!$L:$L,'Transaction Data'!$A:$A,$B$4,'Transaction Data'!$E:$E,$A32)</f>
        <v>0</v>
      </c>
      <c r="C32" s="104">
        <f>SUMIFS('Transaction Data'!$K:$K,'Transaction Data'!$A:$A,$B$4,'Transaction Data'!$E:$E,$A32)/1000</f>
        <v>0</v>
      </c>
      <c r="E32" s="98">
        <f t="shared" si="0"/>
        <v>0</v>
      </c>
      <c r="F32" s="198">
        <f>SUMIFS('Transaction Data'!$L:$L,'Transaction Data'!$A:$A,$G$6,'Transaction Data'!$E:$E,$A32)</f>
        <v>0</v>
      </c>
      <c r="G32" s="104">
        <f>SUMIFS('Transaction Data'!$K:$K,'Transaction Data'!$A:$A,$G$6,'Transaction Data'!$E:$E,$A32)/1000</f>
        <v>0</v>
      </c>
      <c r="H32" s="135"/>
      <c r="I32" s="136" t="e">
        <f t="shared" si="1"/>
        <v>#DIV/0!</v>
      </c>
      <c r="J32" s="136" t="e">
        <f t="shared" si="2"/>
        <v>#DIV/0!</v>
      </c>
      <c r="K32" s="136" t="e">
        <f t="shared" si="3"/>
        <v>#DIV/0!</v>
      </c>
      <c r="L32" s="136" t="e">
        <f t="shared" si="4"/>
        <v>#DIV/0!</v>
      </c>
      <c r="M32" s="135"/>
      <c r="N32" s="135"/>
    </row>
    <row r="33" spans="1:14" hidden="1">
      <c r="A33" s="98"/>
      <c r="B33" s="198">
        <f>SUMIFS('Transaction Data'!$L:$L,'Transaction Data'!$A:$A,$B$4,'Transaction Data'!$E:$E,$A33)</f>
        <v>0</v>
      </c>
      <c r="C33" s="104">
        <f>SUMIFS('Transaction Data'!$K:$K,'Transaction Data'!$A:$A,$B$4,'Transaction Data'!$E:$E,$A33)/1000</f>
        <v>0</v>
      </c>
      <c r="E33" s="98">
        <f t="shared" si="0"/>
        <v>0</v>
      </c>
      <c r="F33" s="198">
        <f>SUMIFS('Transaction Data'!$L:$L,'Transaction Data'!$A:$A,$G$6,'Transaction Data'!$E:$E,$A33)</f>
        <v>0</v>
      </c>
      <c r="G33" s="104">
        <f>SUMIFS('Transaction Data'!$K:$K,'Transaction Data'!$A:$A,$G$6,'Transaction Data'!$E:$E,$A33)/1000</f>
        <v>0</v>
      </c>
      <c r="H33" s="135"/>
      <c r="I33" s="136" t="e">
        <f t="shared" si="1"/>
        <v>#DIV/0!</v>
      </c>
      <c r="J33" s="136" t="e">
        <f t="shared" si="2"/>
        <v>#DIV/0!</v>
      </c>
      <c r="K33" s="136" t="e">
        <f t="shared" si="3"/>
        <v>#DIV/0!</v>
      </c>
      <c r="L33" s="136" t="e">
        <f t="shared" si="4"/>
        <v>#DIV/0!</v>
      </c>
      <c r="M33" s="135"/>
      <c r="N33" s="135"/>
    </row>
    <row r="34" spans="1:14" hidden="1">
      <c r="A34" s="98"/>
      <c r="B34" s="198">
        <f>SUMIFS('Transaction Data'!$L:$L,'Transaction Data'!$A:$A,$B$4,'Transaction Data'!$E:$E,$A34)</f>
        <v>0</v>
      </c>
      <c r="C34" s="104">
        <f>SUMIFS('Transaction Data'!$K:$K,'Transaction Data'!$A:$A,$B$4,'Transaction Data'!$E:$E,$A34)/1000</f>
        <v>0</v>
      </c>
      <c r="E34" s="98">
        <f t="shared" si="0"/>
        <v>0</v>
      </c>
      <c r="F34" s="198">
        <f>SUMIFS('Transaction Data'!$L:$L,'Transaction Data'!$A:$A,$G$6,'Transaction Data'!$E:$E,$A34)</f>
        <v>0</v>
      </c>
      <c r="G34" s="104">
        <f>SUMIFS('Transaction Data'!$K:$K,'Transaction Data'!$A:$A,$G$6,'Transaction Data'!$E:$E,$A34)/1000</f>
        <v>0</v>
      </c>
      <c r="H34" s="135"/>
      <c r="I34" s="136" t="e">
        <f t="shared" si="1"/>
        <v>#DIV/0!</v>
      </c>
      <c r="J34" s="136" t="e">
        <f t="shared" si="2"/>
        <v>#DIV/0!</v>
      </c>
      <c r="K34" s="136" t="e">
        <f t="shared" si="3"/>
        <v>#DIV/0!</v>
      </c>
      <c r="L34" s="136" t="e">
        <f t="shared" si="4"/>
        <v>#DIV/0!</v>
      </c>
      <c r="M34" s="135"/>
      <c r="N34" s="135"/>
    </row>
    <row r="35" spans="1:14" hidden="1">
      <c r="A35" s="98"/>
      <c r="B35" s="198">
        <f>SUMIFS('Transaction Data'!$L:$L,'Transaction Data'!$A:$A,$B$4,'Transaction Data'!$E:$E,$A35)</f>
        <v>0</v>
      </c>
      <c r="C35" s="104">
        <f>SUMIFS('Transaction Data'!$K:$K,'Transaction Data'!$A:$A,$B$4,'Transaction Data'!$E:$E,$A35)/1000</f>
        <v>0</v>
      </c>
      <c r="E35" s="98">
        <f t="shared" si="0"/>
        <v>0</v>
      </c>
      <c r="F35" s="198">
        <f>SUMIFS('Transaction Data'!$L:$L,'Transaction Data'!$A:$A,$G$6,'Transaction Data'!$E:$E,$A35)</f>
        <v>0</v>
      </c>
      <c r="G35" s="104">
        <f>SUMIFS('Transaction Data'!$K:$K,'Transaction Data'!$A:$A,$G$6,'Transaction Data'!$E:$E,$A35)/1000</f>
        <v>0</v>
      </c>
      <c r="H35" s="135"/>
      <c r="I35" s="136" t="e">
        <f t="shared" si="1"/>
        <v>#DIV/0!</v>
      </c>
      <c r="J35" s="136" t="e">
        <f t="shared" si="2"/>
        <v>#DIV/0!</v>
      </c>
      <c r="K35" s="136" t="e">
        <f t="shared" si="3"/>
        <v>#DIV/0!</v>
      </c>
      <c r="L35" s="136" t="e">
        <f t="shared" si="4"/>
        <v>#DIV/0!</v>
      </c>
      <c r="M35" s="135"/>
      <c r="N35" s="135"/>
    </row>
    <row r="36" spans="1:14">
      <c r="A36" s="99" t="s">
        <v>108</v>
      </c>
      <c r="B36" s="133">
        <f>SUM(B8:B35)</f>
        <v>0</v>
      </c>
      <c r="C36" s="100">
        <f>SUM(C8:C35)</f>
        <v>0</v>
      </c>
      <c r="E36" s="101" t="s">
        <v>108</v>
      </c>
      <c r="F36" s="134">
        <f>SUM(F8:F35)</f>
        <v>0</v>
      </c>
      <c r="G36" s="102">
        <f>SUM(G8:G35)</f>
        <v>0</v>
      </c>
      <c r="H36" s="135"/>
      <c r="I36" s="135"/>
      <c r="J36" s="135"/>
      <c r="K36" s="135"/>
      <c r="L36" s="135"/>
      <c r="M36" s="135"/>
      <c r="N36" s="135"/>
    </row>
    <row r="37" spans="1:14">
      <c r="H37" s="135"/>
      <c r="I37" s="135"/>
      <c r="J37" s="135"/>
      <c r="K37" s="135"/>
      <c r="L37" s="135"/>
      <c r="M37" s="135"/>
      <c r="N37" s="135"/>
    </row>
    <row r="38" spans="1:14">
      <c r="H38" s="135"/>
      <c r="I38" s="135"/>
      <c r="J38" s="135"/>
      <c r="K38" s="135"/>
      <c r="L38" s="135"/>
      <c r="M38" s="135"/>
      <c r="N38" s="135"/>
    </row>
    <row r="39" spans="1:14">
      <c r="H39" s="135"/>
      <c r="I39" s="135"/>
      <c r="J39" s="135"/>
      <c r="K39" s="135"/>
      <c r="L39" s="135"/>
      <c r="M39" s="135"/>
      <c r="N39" s="135"/>
    </row>
    <row r="40" spans="1:14">
      <c r="H40" s="135"/>
      <c r="I40" s="135"/>
      <c r="J40" s="135"/>
      <c r="K40" s="135"/>
      <c r="L40" s="135"/>
      <c r="M40" s="135"/>
      <c r="N40" s="135"/>
    </row>
    <row r="41" spans="1:14">
      <c r="H41" s="135"/>
      <c r="I41" s="135"/>
      <c r="J41" s="135"/>
      <c r="K41" s="135"/>
      <c r="L41" s="135"/>
      <c r="M41" s="135"/>
      <c r="N41" s="135"/>
    </row>
    <row r="42" spans="1:14">
      <c r="H42" s="135"/>
      <c r="I42" s="135"/>
      <c r="J42" s="135"/>
      <c r="K42" s="135"/>
      <c r="L42" s="135"/>
      <c r="M42" s="135"/>
      <c r="N42" s="135"/>
    </row>
    <row r="43" spans="1:14">
      <c r="A43" s="197"/>
      <c r="B43" s="196"/>
      <c r="H43" s="135"/>
      <c r="I43" s="135"/>
      <c r="J43" s="135"/>
      <c r="K43" s="135"/>
      <c r="L43" s="135"/>
      <c r="M43" s="135"/>
      <c r="N43" s="135"/>
    </row>
    <row r="44" spans="1:14">
      <c r="A44" s="197"/>
      <c r="B44" s="196"/>
      <c r="H44" s="135"/>
      <c r="I44" s="135"/>
      <c r="J44" s="135"/>
      <c r="K44" s="135"/>
      <c r="L44" s="135"/>
      <c r="M44" s="135"/>
      <c r="N44" s="135"/>
    </row>
    <row r="45" spans="1:14">
      <c r="A45" s="197"/>
      <c r="B45" s="196"/>
      <c r="H45" s="135"/>
      <c r="I45" s="135"/>
      <c r="J45" s="135"/>
      <c r="K45" s="135"/>
      <c r="L45" s="135"/>
      <c r="M45" s="135"/>
      <c r="N45" s="135"/>
    </row>
    <row r="46" spans="1:14">
      <c r="H46" s="135"/>
      <c r="I46" s="135"/>
      <c r="J46" s="135"/>
      <c r="K46" s="135"/>
      <c r="L46" s="135"/>
      <c r="M46" s="135"/>
      <c r="N46" s="135"/>
    </row>
    <row r="47" spans="1:14">
      <c r="H47" s="135"/>
      <c r="I47" s="135"/>
      <c r="J47" s="135"/>
      <c r="K47" s="135"/>
      <c r="L47" s="135"/>
      <c r="M47" s="135"/>
      <c r="N47" s="135"/>
    </row>
    <row r="48" spans="1:14">
      <c r="H48" s="135"/>
      <c r="I48" s="135"/>
      <c r="J48" s="135"/>
      <c r="K48" s="135"/>
      <c r="L48" s="135"/>
      <c r="M48" s="135"/>
      <c r="N48" s="135"/>
    </row>
    <row r="49" spans="8:14">
      <c r="H49" s="135"/>
      <c r="I49" s="135"/>
      <c r="J49" s="135"/>
      <c r="K49" s="135"/>
      <c r="L49" s="135"/>
      <c r="M49" s="135"/>
      <c r="N49" s="135"/>
    </row>
    <row r="50" spans="8:14">
      <c r="H50" s="135"/>
      <c r="I50" s="135"/>
      <c r="J50" s="135"/>
      <c r="K50" s="135"/>
      <c r="L50" s="135"/>
      <c r="M50" s="135"/>
      <c r="N50" s="135"/>
    </row>
    <row r="51" spans="8:14">
      <c r="H51" s="135"/>
      <c r="I51" s="135"/>
      <c r="J51" s="135"/>
      <c r="K51" s="135"/>
      <c r="L51" s="135"/>
      <c r="M51" s="135"/>
      <c r="N51" s="135"/>
    </row>
    <row r="52" spans="8:14">
      <c r="H52" s="135"/>
      <c r="I52" s="135"/>
      <c r="J52" s="135"/>
      <c r="K52" s="135"/>
      <c r="L52" s="135"/>
      <c r="M52" s="135"/>
      <c r="N52" s="135"/>
    </row>
    <row r="53" spans="8:14">
      <c r="H53" s="135"/>
      <c r="I53" s="135"/>
      <c r="J53" s="135"/>
      <c r="K53" s="135"/>
      <c r="L53" s="135"/>
      <c r="M53" s="135"/>
      <c r="N53" s="135"/>
    </row>
    <row r="54" spans="8:14">
      <c r="H54" s="135"/>
      <c r="I54" s="135"/>
      <c r="J54" s="135"/>
      <c r="K54" s="135"/>
      <c r="L54" s="135"/>
      <c r="M54" s="135"/>
      <c r="N54" s="135"/>
    </row>
    <row r="55" spans="8:14">
      <c r="H55" s="135"/>
      <c r="I55" s="135"/>
      <c r="J55" s="135"/>
      <c r="K55" s="135"/>
      <c r="L55" s="135"/>
      <c r="M55" s="135"/>
      <c r="N55" s="135"/>
    </row>
    <row r="56" spans="8:14">
      <c r="H56" s="135"/>
      <c r="I56" s="135"/>
      <c r="J56" s="135"/>
      <c r="K56" s="135"/>
      <c r="L56" s="135"/>
      <c r="M56" s="135"/>
      <c r="N56" s="135"/>
    </row>
    <row r="57" spans="8:14">
      <c r="H57" s="135"/>
      <c r="I57" s="135"/>
      <c r="J57" s="135"/>
      <c r="K57" s="135"/>
      <c r="L57" s="135"/>
      <c r="M57" s="135"/>
      <c r="N57" s="135"/>
    </row>
    <row r="58" spans="8:14">
      <c r="H58" s="135"/>
      <c r="I58" s="135"/>
      <c r="J58" s="135"/>
      <c r="K58" s="135"/>
      <c r="L58" s="135"/>
      <c r="M58" s="135"/>
      <c r="N58" s="135"/>
    </row>
    <row r="59" spans="8:14">
      <c r="H59" s="135"/>
      <c r="I59" s="135"/>
      <c r="J59" s="135"/>
      <c r="K59" s="135"/>
      <c r="L59" s="135"/>
      <c r="M59" s="135"/>
      <c r="N59" s="135"/>
    </row>
    <row r="60" spans="8:14">
      <c r="H60" s="135"/>
      <c r="I60" s="135"/>
      <c r="J60" s="135"/>
      <c r="K60" s="135"/>
      <c r="L60" s="135"/>
      <c r="M60" s="135"/>
      <c r="N60" s="135"/>
    </row>
    <row r="61" spans="8:14">
      <c r="H61" s="135"/>
      <c r="I61" s="135"/>
      <c r="J61" s="135"/>
      <c r="K61" s="135"/>
      <c r="L61" s="135"/>
      <c r="M61" s="135"/>
      <c r="N61" s="135"/>
    </row>
    <row r="62" spans="8:14">
      <c r="H62" s="135"/>
      <c r="I62" s="135"/>
      <c r="J62" s="135"/>
      <c r="K62" s="135"/>
      <c r="L62" s="135"/>
      <c r="M62" s="135"/>
      <c r="N62" s="135"/>
    </row>
    <row r="63" spans="8:14">
      <c r="H63" s="135"/>
      <c r="I63" s="135"/>
      <c r="J63" s="135"/>
      <c r="K63" s="135"/>
      <c r="L63" s="135"/>
      <c r="M63" s="135"/>
      <c r="N63" s="135"/>
    </row>
    <row r="64" spans="8:14">
      <c r="H64" s="135"/>
      <c r="I64" s="135"/>
      <c r="J64" s="135"/>
      <c r="K64" s="135"/>
      <c r="L64" s="135"/>
      <c r="M64" s="135"/>
      <c r="N64" s="135"/>
    </row>
    <row r="65" spans="8:14">
      <c r="H65" s="135"/>
      <c r="I65" s="135"/>
      <c r="J65" s="135"/>
      <c r="K65" s="135"/>
      <c r="L65" s="135"/>
      <c r="M65" s="135"/>
      <c r="N65" s="135"/>
    </row>
    <row r="66" spans="8:14">
      <c r="H66" s="135"/>
      <c r="I66" s="135"/>
      <c r="J66" s="135"/>
      <c r="K66" s="135"/>
      <c r="L66" s="135"/>
      <c r="M66" s="135"/>
      <c r="N66" s="135"/>
    </row>
    <row r="67" spans="8:14">
      <c r="H67" s="135"/>
      <c r="I67" s="135"/>
      <c r="J67" s="135"/>
      <c r="K67" s="135"/>
      <c r="L67" s="135"/>
      <c r="M67" s="135"/>
      <c r="N67" s="135"/>
    </row>
    <row r="68" spans="8:14">
      <c r="H68" s="135"/>
      <c r="I68" s="135"/>
      <c r="J68" s="135"/>
      <c r="K68" s="135"/>
      <c r="L68" s="135"/>
      <c r="M68" s="135"/>
      <c r="N68" s="135"/>
    </row>
    <row r="69" spans="8:14">
      <c r="H69" s="135"/>
      <c r="I69" s="135"/>
      <c r="J69" s="135"/>
      <c r="K69" s="135"/>
      <c r="L69" s="135"/>
      <c r="M69" s="135"/>
      <c r="N69" s="135"/>
    </row>
    <row r="70" spans="8:14">
      <c r="H70" s="135"/>
      <c r="I70" s="135"/>
      <c r="J70" s="135"/>
      <c r="K70" s="135"/>
      <c r="L70" s="135"/>
      <c r="M70" s="135"/>
      <c r="N70" s="135"/>
    </row>
    <row r="71" spans="8:14">
      <c r="H71" s="135"/>
      <c r="I71" s="135"/>
      <c r="J71" s="135"/>
      <c r="K71" s="135"/>
      <c r="L71" s="135"/>
      <c r="M71" s="135"/>
      <c r="N71" s="135"/>
    </row>
    <row r="72" spans="8:14">
      <c r="H72" s="135"/>
      <c r="I72" s="135"/>
      <c r="J72" s="135"/>
      <c r="K72" s="135"/>
      <c r="L72" s="135"/>
      <c r="M72" s="135"/>
      <c r="N72" s="135"/>
    </row>
    <row r="73" spans="8:14">
      <c r="H73" s="135"/>
      <c r="I73" s="135"/>
      <c r="J73" s="135"/>
      <c r="K73" s="135"/>
      <c r="L73" s="135"/>
      <c r="M73" s="135"/>
      <c r="N73" s="135"/>
    </row>
    <row r="74" spans="8:14">
      <c r="H74" s="135"/>
      <c r="I74" s="135"/>
      <c r="J74" s="135"/>
      <c r="K74" s="135"/>
      <c r="L74" s="135"/>
      <c r="M74" s="135"/>
      <c r="N74" s="135"/>
    </row>
    <row r="75" spans="8:14">
      <c r="H75" s="135"/>
      <c r="I75" s="135"/>
      <c r="J75" s="135"/>
      <c r="K75" s="135"/>
      <c r="L75" s="135"/>
      <c r="M75" s="135"/>
      <c r="N75" s="135"/>
    </row>
    <row r="76" spans="8:14">
      <c r="H76" s="135"/>
      <c r="I76" s="135"/>
      <c r="J76" s="135"/>
      <c r="K76" s="135"/>
      <c r="L76" s="135"/>
      <c r="M76" s="135"/>
      <c r="N76" s="135"/>
    </row>
    <row r="77" spans="8:14">
      <c r="H77" s="135"/>
      <c r="I77" s="135"/>
      <c r="J77" s="135"/>
      <c r="K77" s="135"/>
      <c r="L77" s="135"/>
      <c r="M77" s="135"/>
      <c r="N77" s="135"/>
    </row>
    <row r="78" spans="8:14">
      <c r="H78" s="135"/>
      <c r="I78" s="135"/>
      <c r="J78" s="135"/>
      <c r="K78" s="135"/>
      <c r="L78" s="135"/>
      <c r="M78" s="135"/>
      <c r="N78" s="135"/>
    </row>
    <row r="79" spans="8:14">
      <c r="H79" s="135"/>
      <c r="I79" s="135"/>
      <c r="J79" s="135"/>
      <c r="K79" s="135"/>
      <c r="L79" s="135"/>
      <c r="M79" s="135"/>
      <c r="N79" s="135"/>
    </row>
    <row r="80" spans="8:14">
      <c r="H80" s="135"/>
      <c r="I80" s="135"/>
      <c r="J80" s="135"/>
      <c r="K80" s="135"/>
      <c r="L80" s="135"/>
      <c r="M80" s="135"/>
      <c r="N80" s="135"/>
    </row>
    <row r="81" spans="8:14">
      <c r="H81" s="135"/>
      <c r="I81" s="135"/>
      <c r="J81" s="135"/>
      <c r="K81" s="135"/>
      <c r="L81" s="135"/>
      <c r="M81" s="135"/>
      <c r="N81" s="135"/>
    </row>
    <row r="82" spans="8:14">
      <c r="H82" s="135"/>
      <c r="I82" s="135"/>
      <c r="J82" s="135"/>
      <c r="K82" s="135"/>
      <c r="L82" s="135"/>
      <c r="M82" s="135"/>
      <c r="N82" s="135"/>
    </row>
    <row r="83" spans="8:14">
      <c r="H83" s="135"/>
      <c r="I83" s="135"/>
      <c r="J83" s="135"/>
      <c r="K83" s="135"/>
      <c r="L83" s="135"/>
      <c r="M83" s="135"/>
      <c r="N83" s="135"/>
    </row>
    <row r="84" spans="8:14">
      <c r="H84" s="135"/>
      <c r="I84" s="135"/>
      <c r="J84" s="135"/>
      <c r="K84" s="135"/>
      <c r="L84" s="135"/>
      <c r="M84" s="135"/>
      <c r="N84" s="135"/>
    </row>
    <row r="85" spans="8:14">
      <c r="H85" s="135"/>
      <c r="I85" s="135"/>
      <c r="J85" s="135"/>
      <c r="K85" s="135"/>
      <c r="L85" s="135"/>
      <c r="M85" s="135"/>
      <c r="N85" s="135"/>
    </row>
    <row r="86" spans="8:14">
      <c r="H86" s="135"/>
      <c r="I86" s="135"/>
      <c r="J86" s="135"/>
      <c r="K86" s="135"/>
      <c r="L86" s="135"/>
      <c r="M86" s="135"/>
      <c r="N86" s="135"/>
    </row>
    <row r="87" spans="8:14">
      <c r="H87" s="135"/>
      <c r="I87" s="135"/>
      <c r="J87" s="135"/>
      <c r="K87" s="135"/>
      <c r="L87" s="135"/>
      <c r="M87" s="135"/>
      <c r="N87" s="135"/>
    </row>
    <row r="88" spans="8:14">
      <c r="H88" s="135"/>
      <c r="I88" s="135"/>
      <c r="J88" s="135"/>
      <c r="K88" s="135"/>
      <c r="L88" s="135"/>
      <c r="M88" s="135"/>
      <c r="N88" s="135"/>
    </row>
    <row r="89" spans="8:14">
      <c r="H89" s="135"/>
      <c r="I89" s="135"/>
      <c r="J89" s="135"/>
      <c r="K89" s="135"/>
      <c r="L89" s="135"/>
      <c r="M89" s="135"/>
      <c r="N89" s="135"/>
    </row>
    <row r="90" spans="8:14">
      <c r="H90" s="135"/>
      <c r="I90" s="135"/>
      <c r="J90" s="135"/>
      <c r="K90" s="135"/>
      <c r="L90" s="135"/>
      <c r="M90" s="135"/>
      <c r="N90" s="135"/>
    </row>
    <row r="91" spans="8:14">
      <c r="H91" s="135"/>
      <c r="I91" s="135"/>
      <c r="J91" s="135"/>
      <c r="K91" s="135"/>
      <c r="L91" s="135"/>
      <c r="M91" s="135"/>
      <c r="N91" s="135"/>
    </row>
    <row r="92" spans="8:14">
      <c r="H92" s="135"/>
      <c r="I92" s="135"/>
      <c r="J92" s="135"/>
      <c r="K92" s="135"/>
      <c r="L92" s="135"/>
      <c r="M92" s="135"/>
      <c r="N92" s="135"/>
    </row>
    <row r="93" spans="8:14">
      <c r="H93" s="135"/>
      <c r="I93" s="135"/>
      <c r="J93" s="135"/>
      <c r="K93" s="135"/>
      <c r="L93" s="135"/>
      <c r="M93" s="135"/>
      <c r="N93" s="135"/>
    </row>
    <row r="94" spans="8:14">
      <c r="H94" s="135"/>
      <c r="I94" s="135"/>
      <c r="J94" s="135"/>
      <c r="K94" s="135"/>
      <c r="L94" s="135"/>
      <c r="M94" s="135"/>
      <c r="N94" s="135"/>
    </row>
    <row r="95" spans="8:14">
      <c r="H95" s="135"/>
      <c r="I95" s="135"/>
      <c r="J95" s="135"/>
      <c r="K95" s="135"/>
      <c r="L95" s="135"/>
      <c r="M95" s="135"/>
      <c r="N95" s="135"/>
    </row>
    <row r="96" spans="8:14">
      <c r="H96" s="135"/>
      <c r="I96" s="135"/>
      <c r="J96" s="135"/>
      <c r="K96" s="135"/>
      <c r="L96" s="135"/>
      <c r="M96" s="135"/>
      <c r="N96" s="135"/>
    </row>
    <row r="97" spans="8:14">
      <c r="H97" s="135"/>
      <c r="I97" s="135"/>
      <c r="J97" s="135"/>
      <c r="K97" s="135"/>
      <c r="L97" s="135"/>
      <c r="M97" s="135"/>
      <c r="N97" s="135"/>
    </row>
    <row r="98" spans="8:14">
      <c r="H98" s="135"/>
      <c r="I98" s="135"/>
      <c r="J98" s="135"/>
      <c r="K98" s="135"/>
      <c r="L98" s="135"/>
      <c r="M98" s="135"/>
      <c r="N98" s="135"/>
    </row>
    <row r="99" spans="8:14">
      <c r="H99" s="135"/>
      <c r="I99" s="135"/>
      <c r="J99" s="135"/>
      <c r="K99" s="135"/>
      <c r="L99" s="135"/>
      <c r="M99" s="135"/>
      <c r="N99" s="135"/>
    </row>
    <row r="100" spans="8:14">
      <c r="H100" s="135"/>
      <c r="I100" s="135"/>
      <c r="J100" s="135"/>
      <c r="K100" s="135"/>
      <c r="L100" s="135"/>
      <c r="M100" s="135"/>
      <c r="N100" s="135"/>
    </row>
    <row r="101" spans="8:14">
      <c r="H101" s="135"/>
      <c r="I101" s="135"/>
      <c r="J101" s="135"/>
      <c r="K101" s="135"/>
      <c r="L101" s="135"/>
      <c r="M101" s="135"/>
      <c r="N101" s="135"/>
    </row>
    <row r="102" spans="8:14">
      <c r="H102" s="135"/>
      <c r="I102" s="135"/>
      <c r="J102" s="135"/>
      <c r="K102" s="135"/>
      <c r="L102" s="135"/>
      <c r="M102" s="135"/>
      <c r="N102" s="135"/>
    </row>
    <row r="103" spans="8:14">
      <c r="H103" s="135"/>
      <c r="I103" s="135"/>
      <c r="J103" s="135"/>
      <c r="K103" s="135"/>
      <c r="L103" s="135"/>
      <c r="M103" s="135"/>
      <c r="N103" s="135"/>
    </row>
    <row r="104" spans="8:14">
      <c r="H104" s="135"/>
      <c r="I104" s="135"/>
      <c r="J104" s="135"/>
      <c r="K104" s="135"/>
      <c r="L104" s="135"/>
      <c r="M104" s="135"/>
      <c r="N104" s="135"/>
    </row>
    <row r="105" spans="8:14">
      <c r="H105" s="135"/>
      <c r="I105" s="135"/>
      <c r="J105" s="135"/>
      <c r="K105" s="135"/>
      <c r="L105" s="135"/>
      <c r="M105" s="135"/>
      <c r="N105" s="135"/>
    </row>
    <row r="106" spans="8:14">
      <c r="H106" s="135"/>
      <c r="I106" s="135"/>
      <c r="J106" s="135"/>
      <c r="K106" s="135"/>
      <c r="L106" s="135"/>
      <c r="M106" s="135"/>
      <c r="N106" s="135"/>
    </row>
    <row r="107" spans="8:14">
      <c r="H107" s="135"/>
      <c r="I107" s="135"/>
      <c r="J107" s="135"/>
      <c r="K107" s="135"/>
      <c r="L107" s="135"/>
      <c r="M107" s="135"/>
      <c r="N107" s="135"/>
    </row>
    <row r="108" spans="8:14">
      <c r="H108" s="135"/>
      <c r="I108" s="135"/>
      <c r="J108" s="135"/>
      <c r="K108" s="135"/>
      <c r="L108" s="135"/>
      <c r="M108" s="135"/>
      <c r="N108" s="135"/>
    </row>
    <row r="109" spans="8:14">
      <c r="H109" s="135"/>
      <c r="I109" s="135"/>
      <c r="J109" s="135"/>
      <c r="K109" s="135"/>
      <c r="L109" s="135"/>
      <c r="M109" s="135"/>
      <c r="N109" s="135"/>
    </row>
    <row r="110" spans="8:14">
      <c r="H110" s="135"/>
      <c r="I110" s="135"/>
      <c r="J110" s="135"/>
      <c r="K110" s="135"/>
      <c r="L110" s="135"/>
      <c r="M110" s="135"/>
      <c r="N110" s="135"/>
    </row>
    <row r="111" spans="8:14">
      <c r="H111" s="135"/>
      <c r="I111" s="135"/>
      <c r="J111" s="135"/>
      <c r="K111" s="135"/>
      <c r="L111" s="135"/>
      <c r="M111" s="135"/>
      <c r="N111" s="135"/>
    </row>
    <row r="112" spans="8:14">
      <c r="H112" s="135"/>
      <c r="I112" s="135"/>
      <c r="J112" s="135"/>
      <c r="K112" s="135"/>
      <c r="L112" s="135"/>
      <c r="M112" s="135"/>
      <c r="N112" s="135"/>
    </row>
    <row r="113" spans="8:14">
      <c r="H113" s="135"/>
      <c r="I113" s="135"/>
      <c r="J113" s="135"/>
      <c r="K113" s="135"/>
      <c r="L113" s="135"/>
      <c r="M113" s="135"/>
      <c r="N113" s="135"/>
    </row>
    <row r="114" spans="8:14">
      <c r="H114" s="135"/>
      <c r="I114" s="135"/>
      <c r="J114" s="135"/>
      <c r="K114" s="135"/>
      <c r="L114" s="135"/>
      <c r="M114" s="135"/>
      <c r="N114" s="135"/>
    </row>
    <row r="115" spans="8:14">
      <c r="H115" s="135"/>
      <c r="I115" s="135"/>
      <c r="J115" s="135"/>
      <c r="K115" s="135"/>
      <c r="L115" s="135"/>
      <c r="M115" s="135"/>
      <c r="N115" s="135"/>
    </row>
    <row r="116" spans="8:14">
      <c r="H116" s="135"/>
      <c r="I116" s="135"/>
      <c r="J116" s="135"/>
      <c r="K116" s="135"/>
      <c r="L116" s="135"/>
      <c r="M116" s="135"/>
      <c r="N116" s="135"/>
    </row>
    <row r="117" spans="8:14">
      <c r="H117" s="135"/>
      <c r="I117" s="135"/>
      <c r="J117" s="135"/>
      <c r="K117" s="135"/>
      <c r="L117" s="135"/>
      <c r="M117" s="135"/>
      <c r="N117" s="135"/>
    </row>
    <row r="118" spans="8:14">
      <c r="H118" s="135"/>
      <c r="I118" s="135"/>
      <c r="J118" s="135"/>
      <c r="K118" s="135"/>
      <c r="L118" s="135"/>
      <c r="M118" s="135"/>
      <c r="N118" s="135"/>
    </row>
    <row r="119" spans="8:14">
      <c r="H119" s="135"/>
      <c r="I119" s="135"/>
      <c r="J119" s="135"/>
      <c r="K119" s="135"/>
      <c r="L119" s="135"/>
      <c r="M119" s="135"/>
      <c r="N119" s="135"/>
    </row>
    <row r="120" spans="8:14">
      <c r="H120" s="135"/>
      <c r="I120" s="135"/>
      <c r="J120" s="135"/>
      <c r="K120" s="135"/>
      <c r="L120" s="135"/>
      <c r="M120" s="135"/>
      <c r="N120" s="135"/>
    </row>
    <row r="121" spans="8:14">
      <c r="H121" s="135"/>
      <c r="I121" s="135"/>
      <c r="J121" s="135"/>
      <c r="K121" s="135"/>
      <c r="L121" s="135"/>
      <c r="M121" s="135"/>
      <c r="N121" s="135"/>
    </row>
    <row r="122" spans="8:14">
      <c r="H122" s="135"/>
      <c r="I122" s="135"/>
      <c r="J122" s="135"/>
      <c r="K122" s="135"/>
      <c r="L122" s="135"/>
      <c r="M122" s="135"/>
      <c r="N122" s="135"/>
    </row>
    <row r="123" spans="8:14">
      <c r="H123" s="135"/>
      <c r="I123" s="135"/>
      <c r="J123" s="135"/>
      <c r="K123" s="135"/>
      <c r="L123" s="135"/>
      <c r="M123" s="135"/>
      <c r="N123" s="135"/>
    </row>
    <row r="124" spans="8:14">
      <c r="H124" s="135"/>
      <c r="I124" s="135"/>
      <c r="J124" s="135"/>
      <c r="K124" s="135"/>
      <c r="L124" s="135"/>
      <c r="M124" s="135"/>
      <c r="N124" s="135"/>
    </row>
    <row r="125" spans="8:14">
      <c r="H125" s="135"/>
      <c r="I125" s="135"/>
      <c r="J125" s="135"/>
      <c r="K125" s="135"/>
      <c r="L125" s="135"/>
      <c r="M125" s="135"/>
      <c r="N125" s="135"/>
    </row>
    <row r="126" spans="8:14">
      <c r="H126" s="135"/>
      <c r="I126" s="135"/>
      <c r="J126" s="135"/>
      <c r="K126" s="135"/>
      <c r="L126" s="135"/>
      <c r="M126" s="135"/>
      <c r="N126" s="135"/>
    </row>
    <row r="127" spans="8:14">
      <c r="H127" s="135"/>
      <c r="I127" s="135"/>
      <c r="J127" s="135"/>
      <c r="K127" s="135"/>
      <c r="L127" s="135"/>
      <c r="M127" s="135"/>
      <c r="N127" s="135"/>
    </row>
    <row r="128" spans="8:14">
      <c r="H128" s="135"/>
      <c r="I128" s="135"/>
      <c r="J128" s="135"/>
      <c r="K128" s="135"/>
      <c r="L128" s="135"/>
      <c r="M128" s="135"/>
      <c r="N128" s="135"/>
    </row>
    <row r="129" spans="8:14">
      <c r="H129" s="135"/>
      <c r="I129" s="135"/>
      <c r="J129" s="135"/>
      <c r="K129" s="135"/>
      <c r="L129" s="135"/>
      <c r="M129" s="135"/>
      <c r="N129" s="135"/>
    </row>
    <row r="130" spans="8:14">
      <c r="H130" s="135"/>
      <c r="I130" s="135"/>
      <c r="J130" s="135"/>
      <c r="K130" s="135"/>
      <c r="L130" s="135"/>
      <c r="M130" s="135"/>
      <c r="N130" s="135"/>
    </row>
    <row r="131" spans="8:14">
      <c r="H131" s="135"/>
      <c r="I131" s="135"/>
      <c r="J131" s="135"/>
      <c r="K131" s="135"/>
      <c r="L131" s="135"/>
      <c r="M131" s="135"/>
      <c r="N131" s="135"/>
    </row>
    <row r="132" spans="8:14">
      <c r="H132" s="135"/>
      <c r="I132" s="135"/>
      <c r="J132" s="135"/>
      <c r="K132" s="135"/>
      <c r="L132" s="135"/>
      <c r="M132" s="135"/>
      <c r="N132" s="135"/>
    </row>
    <row r="133" spans="8:14">
      <c r="H133" s="135"/>
      <c r="I133" s="135"/>
      <c r="J133" s="135"/>
      <c r="K133" s="135"/>
      <c r="L133" s="135"/>
      <c r="M133" s="135"/>
      <c r="N133" s="135"/>
    </row>
    <row r="134" spans="8:14">
      <c r="H134" s="135"/>
      <c r="I134" s="135"/>
      <c r="J134" s="135"/>
      <c r="K134" s="135"/>
      <c r="L134" s="135"/>
      <c r="M134" s="135"/>
      <c r="N134" s="135"/>
    </row>
    <row r="135" spans="8:14">
      <c r="H135" s="135"/>
      <c r="I135" s="135"/>
      <c r="J135" s="135"/>
      <c r="K135" s="135"/>
      <c r="L135" s="135"/>
      <c r="M135" s="135"/>
      <c r="N135" s="135"/>
    </row>
    <row r="136" spans="8:14">
      <c r="H136" s="135"/>
      <c r="I136" s="135"/>
      <c r="J136" s="135"/>
      <c r="K136" s="135"/>
      <c r="L136" s="135"/>
      <c r="M136" s="135"/>
      <c r="N136" s="135"/>
    </row>
    <row r="137" spans="8:14">
      <c r="H137" s="135"/>
      <c r="I137" s="135"/>
      <c r="J137" s="135"/>
      <c r="K137" s="135"/>
      <c r="L137" s="135"/>
      <c r="M137" s="135"/>
      <c r="N137" s="135"/>
    </row>
    <row r="138" spans="8:14">
      <c r="H138" s="135"/>
      <c r="I138" s="135"/>
      <c r="J138" s="135"/>
      <c r="K138" s="135"/>
      <c r="L138" s="135"/>
      <c r="M138" s="135"/>
      <c r="N138" s="135"/>
    </row>
    <row r="139" spans="8:14">
      <c r="H139" s="135"/>
      <c r="I139" s="135"/>
      <c r="J139" s="135"/>
      <c r="K139" s="135"/>
      <c r="L139" s="135"/>
      <c r="M139" s="135"/>
      <c r="N139" s="135"/>
    </row>
    <row r="140" spans="8:14">
      <c r="H140" s="135"/>
      <c r="I140" s="135"/>
      <c r="J140" s="135"/>
      <c r="K140" s="135"/>
      <c r="L140" s="135"/>
      <c r="M140" s="135"/>
      <c r="N140" s="135"/>
    </row>
    <row r="141" spans="8:14">
      <c r="H141" s="135"/>
      <c r="I141" s="135"/>
      <c r="J141" s="135"/>
      <c r="K141" s="135"/>
      <c r="L141" s="135"/>
      <c r="M141" s="135"/>
      <c r="N141" s="135"/>
    </row>
    <row r="142" spans="8:14">
      <c r="H142" s="135"/>
      <c r="I142" s="135"/>
      <c r="J142" s="135"/>
      <c r="K142" s="135"/>
      <c r="L142" s="135"/>
      <c r="M142" s="135"/>
      <c r="N142" s="135"/>
    </row>
    <row r="143" spans="8:14">
      <c r="H143" s="135"/>
      <c r="I143" s="135"/>
      <c r="J143" s="135"/>
      <c r="K143" s="135"/>
      <c r="L143" s="135"/>
      <c r="M143" s="135"/>
      <c r="N143" s="135"/>
    </row>
    <row r="144" spans="8:14">
      <c r="H144" s="135"/>
      <c r="I144" s="135"/>
      <c r="J144" s="135"/>
      <c r="K144" s="135"/>
      <c r="L144" s="135"/>
      <c r="M144" s="135"/>
      <c r="N144" s="135"/>
    </row>
    <row r="145" spans="8:14">
      <c r="H145" s="135"/>
      <c r="I145" s="135"/>
      <c r="J145" s="135"/>
      <c r="K145" s="135"/>
      <c r="L145" s="135"/>
      <c r="M145" s="135"/>
      <c r="N145" s="135"/>
    </row>
    <row r="146" spans="8:14">
      <c r="H146" s="135"/>
      <c r="I146" s="135"/>
      <c r="J146" s="135"/>
      <c r="K146" s="135"/>
      <c r="L146" s="135"/>
      <c r="M146" s="135"/>
      <c r="N146" s="135"/>
    </row>
    <row r="147" spans="8:14">
      <c r="H147" s="135"/>
      <c r="I147" s="135"/>
      <c r="J147" s="135"/>
      <c r="K147" s="135"/>
      <c r="L147" s="135"/>
      <c r="M147" s="135"/>
      <c r="N147" s="135"/>
    </row>
    <row r="148" spans="8:14">
      <c r="H148" s="135"/>
      <c r="I148" s="135"/>
      <c r="J148" s="135"/>
      <c r="K148" s="135"/>
      <c r="L148" s="135"/>
      <c r="M148" s="135"/>
      <c r="N148" s="135"/>
    </row>
    <row r="149" spans="8:14">
      <c r="H149" s="135"/>
      <c r="I149" s="135"/>
      <c r="J149" s="135"/>
      <c r="K149" s="135"/>
      <c r="L149" s="135"/>
      <c r="M149" s="135"/>
      <c r="N149" s="135"/>
    </row>
    <row r="150" spans="8:14">
      <c r="H150" s="135"/>
      <c r="I150" s="135"/>
      <c r="J150" s="135"/>
      <c r="K150" s="135"/>
      <c r="L150" s="135"/>
      <c r="M150" s="135"/>
      <c r="N150" s="135"/>
    </row>
    <row r="151" spans="8:14">
      <c r="H151" s="135"/>
      <c r="I151" s="135"/>
      <c r="J151" s="135"/>
      <c r="K151" s="135"/>
      <c r="L151" s="135"/>
      <c r="M151" s="135"/>
      <c r="N151" s="135"/>
    </row>
    <row r="152" spans="8:14">
      <c r="H152" s="135"/>
      <c r="I152" s="135"/>
      <c r="J152" s="135"/>
      <c r="K152" s="135"/>
      <c r="L152" s="135"/>
      <c r="M152" s="135"/>
      <c r="N152" s="135"/>
    </row>
    <row r="153" spans="8:14">
      <c r="H153" s="135"/>
      <c r="I153" s="135"/>
      <c r="J153" s="135"/>
      <c r="K153" s="135"/>
      <c r="L153" s="135"/>
      <c r="M153" s="135"/>
      <c r="N153" s="135"/>
    </row>
    <row r="154" spans="8:14">
      <c r="H154" s="135"/>
      <c r="I154" s="135"/>
      <c r="J154" s="135"/>
      <c r="K154" s="135"/>
      <c r="L154" s="135"/>
      <c r="M154" s="135"/>
      <c r="N154" s="135"/>
    </row>
    <row r="155" spans="8:14">
      <c r="H155" s="135"/>
      <c r="I155" s="135"/>
      <c r="J155" s="135"/>
      <c r="K155" s="135"/>
      <c r="L155" s="135"/>
      <c r="M155" s="135"/>
      <c r="N155" s="135"/>
    </row>
    <row r="156" spans="8:14">
      <c r="H156" s="135"/>
      <c r="I156" s="135"/>
      <c r="J156" s="135"/>
      <c r="K156" s="135"/>
      <c r="L156" s="135"/>
      <c r="M156" s="135"/>
      <c r="N156" s="135"/>
    </row>
    <row r="157" spans="8:14">
      <c r="H157" s="135"/>
      <c r="I157" s="135"/>
      <c r="J157" s="135"/>
      <c r="K157" s="135"/>
      <c r="L157" s="135"/>
      <c r="M157" s="135"/>
      <c r="N157" s="135"/>
    </row>
    <row r="158" spans="8:14">
      <c r="H158" s="135"/>
      <c r="I158" s="135"/>
      <c r="J158" s="135"/>
      <c r="K158" s="135"/>
      <c r="L158" s="135"/>
      <c r="M158" s="135"/>
      <c r="N158" s="135"/>
    </row>
    <row r="159" spans="8:14">
      <c r="H159" s="135"/>
      <c r="I159" s="135"/>
      <c r="J159" s="135"/>
      <c r="K159" s="135"/>
      <c r="L159" s="135"/>
      <c r="M159" s="135"/>
      <c r="N159" s="135"/>
    </row>
    <row r="160" spans="8:14">
      <c r="H160" s="135"/>
      <c r="I160" s="135"/>
      <c r="J160" s="135"/>
      <c r="K160" s="135"/>
      <c r="L160" s="135"/>
      <c r="M160" s="135"/>
      <c r="N160" s="135"/>
    </row>
    <row r="161" spans="8:14">
      <c r="H161" s="135"/>
      <c r="I161" s="135"/>
      <c r="J161" s="135"/>
      <c r="K161" s="135"/>
      <c r="L161" s="135"/>
      <c r="M161" s="135"/>
      <c r="N161" s="135"/>
    </row>
    <row r="162" spans="8:14">
      <c r="H162" s="135"/>
      <c r="I162" s="135"/>
      <c r="J162" s="135"/>
      <c r="K162" s="135"/>
      <c r="L162" s="135"/>
      <c r="M162" s="135"/>
      <c r="N162" s="135"/>
    </row>
    <row r="163" spans="8:14">
      <c r="H163" s="135"/>
      <c r="I163" s="135"/>
      <c r="J163" s="135"/>
      <c r="K163" s="135"/>
      <c r="L163" s="135"/>
      <c r="M163" s="135"/>
      <c r="N163" s="135"/>
    </row>
    <row r="164" spans="8:14">
      <c r="H164" s="135"/>
      <c r="I164" s="135"/>
      <c r="J164" s="135"/>
      <c r="K164" s="135"/>
      <c r="L164" s="135"/>
      <c r="M164" s="135"/>
      <c r="N164" s="135"/>
    </row>
    <row r="165" spans="8:14">
      <c r="H165" s="135"/>
      <c r="I165" s="135"/>
      <c r="J165" s="135"/>
      <c r="K165" s="135"/>
      <c r="L165" s="135"/>
      <c r="M165" s="135"/>
      <c r="N165" s="135"/>
    </row>
    <row r="166" spans="8:14">
      <c r="H166" s="135"/>
      <c r="I166" s="135"/>
      <c r="J166" s="135"/>
      <c r="K166" s="135"/>
      <c r="L166" s="135"/>
      <c r="M166" s="135"/>
      <c r="N166" s="135"/>
    </row>
    <row r="167" spans="8:14">
      <c r="H167" s="135"/>
      <c r="I167" s="135"/>
      <c r="J167" s="135"/>
      <c r="K167" s="135"/>
      <c r="L167" s="135"/>
      <c r="M167" s="135"/>
      <c r="N167" s="135"/>
    </row>
    <row r="168" spans="8:14">
      <c r="H168" s="135"/>
      <c r="I168" s="135"/>
      <c r="J168" s="135"/>
      <c r="K168" s="135"/>
      <c r="L168" s="135"/>
      <c r="M168" s="135"/>
      <c r="N168" s="135"/>
    </row>
    <row r="169" spans="8:14">
      <c r="H169" s="135"/>
      <c r="I169" s="135"/>
      <c r="J169" s="135"/>
      <c r="K169" s="135"/>
      <c r="L169" s="135"/>
      <c r="M169" s="135"/>
      <c r="N169" s="135"/>
    </row>
    <row r="170" spans="8:14">
      <c r="H170" s="135"/>
      <c r="I170" s="135"/>
      <c r="J170" s="135"/>
      <c r="K170" s="135"/>
      <c r="L170" s="135"/>
      <c r="M170" s="135"/>
      <c r="N170" s="135"/>
    </row>
    <row r="171" spans="8:14">
      <c r="H171" s="135"/>
      <c r="I171" s="135"/>
      <c r="J171" s="135"/>
      <c r="K171" s="135"/>
      <c r="L171" s="135"/>
      <c r="M171" s="135"/>
      <c r="N171" s="135"/>
    </row>
    <row r="172" spans="8:14">
      <c r="H172" s="135"/>
      <c r="I172" s="135"/>
      <c r="J172" s="135"/>
      <c r="K172" s="135"/>
      <c r="L172" s="135"/>
      <c r="M172" s="135"/>
      <c r="N172" s="135"/>
    </row>
    <row r="173" spans="8:14">
      <c r="H173" s="135"/>
      <c r="I173" s="135"/>
      <c r="J173" s="135"/>
      <c r="K173" s="135"/>
      <c r="L173" s="135"/>
      <c r="M173" s="135"/>
      <c r="N173" s="135"/>
    </row>
    <row r="174" spans="8:14">
      <c r="H174" s="135"/>
      <c r="I174" s="135"/>
      <c r="J174" s="135"/>
      <c r="K174" s="135"/>
      <c r="L174" s="135"/>
      <c r="M174" s="135"/>
      <c r="N174" s="135"/>
    </row>
    <row r="175" spans="8:14">
      <c r="H175" s="135"/>
      <c r="I175" s="135"/>
      <c r="J175" s="135"/>
      <c r="K175" s="135"/>
      <c r="L175" s="135"/>
      <c r="M175" s="135"/>
      <c r="N175" s="135"/>
    </row>
    <row r="176" spans="8:14">
      <c r="H176" s="135"/>
      <c r="I176" s="135"/>
      <c r="J176" s="135"/>
      <c r="K176" s="135"/>
      <c r="L176" s="135"/>
      <c r="M176" s="135"/>
      <c r="N176" s="135"/>
    </row>
    <row r="177" spans="8:14">
      <c r="H177" s="135"/>
      <c r="I177" s="135"/>
      <c r="J177" s="135"/>
      <c r="K177" s="135"/>
      <c r="L177" s="135"/>
      <c r="M177" s="135"/>
      <c r="N177" s="135"/>
    </row>
    <row r="178" spans="8:14">
      <c r="H178" s="135"/>
      <c r="I178" s="135"/>
      <c r="J178" s="135"/>
      <c r="K178" s="135"/>
      <c r="L178" s="135"/>
      <c r="M178" s="135"/>
      <c r="N178" s="135"/>
    </row>
    <row r="179" spans="8:14">
      <c r="H179" s="135"/>
      <c r="I179" s="135"/>
      <c r="J179" s="135"/>
      <c r="K179" s="135"/>
      <c r="L179" s="135"/>
      <c r="M179" s="135"/>
      <c r="N179" s="135"/>
    </row>
    <row r="180" spans="8:14">
      <c r="H180" s="135"/>
      <c r="I180" s="135"/>
      <c r="J180" s="135"/>
      <c r="K180" s="135"/>
      <c r="L180" s="135"/>
      <c r="M180" s="135"/>
      <c r="N180" s="135"/>
    </row>
    <row r="181" spans="8:14">
      <c r="H181" s="135"/>
      <c r="I181" s="135"/>
      <c r="J181" s="135"/>
      <c r="K181" s="135"/>
      <c r="L181" s="135"/>
      <c r="M181" s="135"/>
      <c r="N181" s="135"/>
    </row>
    <row r="182" spans="8:14">
      <c r="H182" s="135"/>
      <c r="I182" s="135"/>
      <c r="J182" s="135"/>
      <c r="K182" s="135"/>
      <c r="L182" s="135"/>
      <c r="M182" s="135"/>
      <c r="N182" s="135"/>
    </row>
    <row r="183" spans="8:14">
      <c r="H183" s="135"/>
      <c r="I183" s="135"/>
      <c r="J183" s="135"/>
      <c r="K183" s="135"/>
      <c r="L183" s="135"/>
      <c r="M183" s="135"/>
      <c r="N183" s="135"/>
    </row>
    <row r="184" spans="8:14">
      <c r="H184" s="135"/>
      <c r="I184" s="135"/>
      <c r="J184" s="135"/>
      <c r="K184" s="135"/>
      <c r="L184" s="135"/>
      <c r="M184" s="135"/>
      <c r="N184" s="135"/>
    </row>
    <row r="185" spans="8:14">
      <c r="H185" s="135"/>
      <c r="I185" s="135"/>
      <c r="J185" s="135"/>
      <c r="K185" s="135"/>
      <c r="L185" s="135"/>
      <c r="M185" s="135"/>
      <c r="N185" s="135"/>
    </row>
    <row r="186" spans="8:14">
      <c r="H186" s="135"/>
      <c r="I186" s="135"/>
      <c r="J186" s="135"/>
      <c r="K186" s="135"/>
      <c r="L186" s="135"/>
      <c r="M186" s="135"/>
      <c r="N186" s="135"/>
    </row>
    <row r="187" spans="8:14">
      <c r="H187" s="135"/>
      <c r="I187" s="135"/>
      <c r="J187" s="135"/>
      <c r="K187" s="135"/>
      <c r="L187" s="135"/>
      <c r="M187" s="135"/>
      <c r="N187" s="135"/>
    </row>
    <row r="188" spans="8:14">
      <c r="H188" s="135"/>
      <c r="I188" s="135"/>
      <c r="J188" s="135"/>
      <c r="K188" s="135"/>
      <c r="L188" s="135"/>
      <c r="M188" s="135"/>
      <c r="N188" s="135"/>
    </row>
    <row r="189" spans="8:14">
      <c r="H189" s="135"/>
      <c r="I189" s="135"/>
      <c r="J189" s="135"/>
      <c r="K189" s="135"/>
      <c r="L189" s="135"/>
      <c r="M189" s="135"/>
      <c r="N189" s="135"/>
    </row>
    <row r="190" spans="8:14">
      <c r="H190" s="135"/>
      <c r="I190" s="135"/>
      <c r="J190" s="135"/>
      <c r="K190" s="135"/>
      <c r="L190" s="135"/>
      <c r="M190" s="135"/>
      <c r="N190" s="135"/>
    </row>
    <row r="191" spans="8:14">
      <c r="H191" s="135"/>
      <c r="I191" s="135"/>
      <c r="J191" s="135"/>
      <c r="K191" s="135"/>
      <c r="L191" s="135"/>
      <c r="M191" s="135"/>
      <c r="N191" s="135"/>
    </row>
    <row r="192" spans="8:14">
      <c r="H192" s="135"/>
      <c r="I192" s="135"/>
      <c r="J192" s="135"/>
      <c r="K192" s="135"/>
      <c r="L192" s="135"/>
      <c r="M192" s="135"/>
      <c r="N192" s="135"/>
    </row>
    <row r="193" spans="8:14">
      <c r="H193" s="135"/>
      <c r="I193" s="135"/>
      <c r="J193" s="135"/>
      <c r="K193" s="135"/>
      <c r="L193" s="135"/>
      <c r="M193" s="135"/>
      <c r="N193" s="135"/>
    </row>
    <row r="194" spans="8:14">
      <c r="H194" s="135"/>
      <c r="I194" s="135"/>
      <c r="J194" s="135"/>
      <c r="K194" s="135"/>
      <c r="L194" s="135"/>
      <c r="M194" s="135"/>
      <c r="N194" s="135"/>
    </row>
    <row r="195" spans="8:14">
      <c r="H195" s="135"/>
      <c r="I195" s="135"/>
      <c r="J195" s="135"/>
      <c r="K195" s="135"/>
      <c r="L195" s="135"/>
      <c r="M195" s="135"/>
      <c r="N195" s="135"/>
    </row>
    <row r="196" spans="8:14">
      <c r="H196" s="135"/>
      <c r="I196" s="135"/>
      <c r="J196" s="135"/>
      <c r="K196" s="135"/>
      <c r="L196" s="135"/>
      <c r="M196" s="135"/>
      <c r="N196" s="135"/>
    </row>
    <row r="197" spans="8:14">
      <c r="H197" s="135"/>
      <c r="I197" s="135"/>
      <c r="J197" s="135"/>
      <c r="K197" s="135"/>
      <c r="L197" s="135"/>
      <c r="M197" s="135"/>
      <c r="N197" s="135"/>
    </row>
    <row r="198" spans="8:14">
      <c r="H198" s="135"/>
      <c r="I198" s="135"/>
      <c r="J198" s="135"/>
      <c r="K198" s="135"/>
      <c r="L198" s="135"/>
      <c r="M198" s="135"/>
      <c r="N198" s="135"/>
    </row>
    <row r="199" spans="8:14">
      <c r="H199" s="135"/>
      <c r="I199" s="135"/>
      <c r="J199" s="135"/>
      <c r="K199" s="135"/>
      <c r="L199" s="135"/>
      <c r="M199" s="135"/>
      <c r="N199" s="135"/>
    </row>
    <row r="200" spans="8:14">
      <c r="H200" s="135"/>
      <c r="I200" s="135"/>
      <c r="J200" s="135"/>
      <c r="K200" s="135"/>
      <c r="L200" s="135"/>
      <c r="M200" s="135"/>
      <c r="N200" s="135"/>
    </row>
    <row r="201" spans="8:14">
      <c r="H201" s="135"/>
      <c r="I201" s="135"/>
      <c r="J201" s="135"/>
      <c r="K201" s="135"/>
      <c r="L201" s="135"/>
      <c r="M201" s="135"/>
      <c r="N201" s="135"/>
    </row>
    <row r="202" spans="8:14">
      <c r="H202" s="135"/>
      <c r="I202" s="135"/>
      <c r="J202" s="135"/>
      <c r="K202" s="135"/>
      <c r="L202" s="135"/>
      <c r="M202" s="135"/>
      <c r="N202" s="135"/>
    </row>
    <row r="203" spans="8:14">
      <c r="H203" s="135"/>
      <c r="I203" s="135"/>
      <c r="J203" s="135"/>
      <c r="K203" s="135"/>
      <c r="L203" s="135"/>
      <c r="M203" s="135"/>
      <c r="N203" s="135"/>
    </row>
    <row r="204" spans="8:14">
      <c r="H204" s="135"/>
      <c r="I204" s="135"/>
      <c r="J204" s="135"/>
      <c r="K204" s="135"/>
      <c r="L204" s="135"/>
      <c r="M204" s="135"/>
      <c r="N204" s="135"/>
    </row>
    <row r="205" spans="8:14">
      <c r="H205" s="135"/>
      <c r="I205" s="135"/>
      <c r="J205" s="135"/>
      <c r="K205" s="135"/>
      <c r="L205" s="135"/>
      <c r="M205" s="135"/>
      <c r="N205" s="135"/>
    </row>
    <row r="206" spans="8:14">
      <c r="H206" s="135"/>
      <c r="I206" s="135"/>
      <c r="J206" s="135"/>
      <c r="K206" s="135"/>
      <c r="L206" s="135"/>
      <c r="M206" s="135"/>
      <c r="N206" s="135"/>
    </row>
    <row r="207" spans="8:14">
      <c r="H207" s="135"/>
      <c r="I207" s="135"/>
      <c r="J207" s="135"/>
      <c r="K207" s="135"/>
      <c r="L207" s="135"/>
      <c r="M207" s="135"/>
      <c r="N207" s="135"/>
    </row>
    <row r="208" spans="8:14">
      <c r="H208" s="135"/>
      <c r="I208" s="135"/>
      <c r="J208" s="135"/>
      <c r="K208" s="135"/>
      <c r="L208" s="135"/>
      <c r="M208" s="135"/>
      <c r="N208" s="135"/>
    </row>
    <row r="209" spans="8:14">
      <c r="H209" s="135"/>
      <c r="I209" s="135"/>
      <c r="J209" s="135"/>
      <c r="K209" s="135"/>
      <c r="L209" s="135"/>
      <c r="M209" s="135"/>
      <c r="N209" s="135"/>
    </row>
    <row r="210" spans="8:14">
      <c r="H210" s="135"/>
      <c r="I210" s="135"/>
      <c r="J210" s="135"/>
      <c r="K210" s="135"/>
      <c r="L210" s="135"/>
      <c r="M210" s="135"/>
      <c r="N210" s="135"/>
    </row>
    <row r="211" spans="8:14">
      <c r="H211" s="135"/>
      <c r="I211" s="135"/>
      <c r="J211" s="135"/>
      <c r="K211" s="135"/>
      <c r="L211" s="135"/>
      <c r="M211" s="135"/>
      <c r="N211" s="135"/>
    </row>
    <row r="212" spans="8:14">
      <c r="H212" s="135"/>
      <c r="I212" s="135"/>
      <c r="J212" s="135"/>
      <c r="K212" s="135"/>
      <c r="L212" s="135"/>
      <c r="M212" s="135"/>
      <c r="N212" s="135"/>
    </row>
    <row r="213" spans="8:14">
      <c r="H213" s="135"/>
      <c r="I213" s="135"/>
      <c r="J213" s="135"/>
      <c r="K213" s="135"/>
      <c r="L213" s="135"/>
      <c r="M213" s="135"/>
      <c r="N213" s="135"/>
    </row>
    <row r="214" spans="8:14">
      <c r="H214" s="135"/>
      <c r="I214" s="135"/>
      <c r="J214" s="135"/>
      <c r="K214" s="135"/>
      <c r="L214" s="135"/>
      <c r="M214" s="135"/>
      <c r="N214" s="135"/>
    </row>
    <row r="215" spans="8:14">
      <c r="H215" s="135"/>
      <c r="I215" s="135"/>
      <c r="J215" s="135"/>
      <c r="K215" s="135"/>
      <c r="L215" s="135"/>
      <c r="M215" s="135"/>
      <c r="N215" s="135"/>
    </row>
    <row r="216" spans="8:14">
      <c r="H216" s="135"/>
      <c r="I216" s="135"/>
      <c r="J216" s="135"/>
      <c r="K216" s="135"/>
      <c r="L216" s="135"/>
      <c r="M216" s="135"/>
      <c r="N216" s="135"/>
    </row>
    <row r="217" spans="8:14">
      <c r="H217" s="135"/>
      <c r="I217" s="135"/>
      <c r="J217" s="135"/>
      <c r="K217" s="135"/>
      <c r="L217" s="135"/>
      <c r="M217" s="135"/>
      <c r="N217" s="135"/>
    </row>
    <row r="218" spans="8:14">
      <c r="H218" s="135"/>
      <c r="I218" s="135"/>
      <c r="J218" s="135"/>
      <c r="K218" s="135"/>
      <c r="L218" s="135"/>
      <c r="M218" s="135"/>
      <c r="N218" s="135"/>
    </row>
    <row r="219" spans="8:14">
      <c r="H219" s="135"/>
      <c r="I219" s="135"/>
      <c r="J219" s="135"/>
      <c r="K219" s="135"/>
      <c r="L219" s="135"/>
      <c r="M219" s="135"/>
      <c r="N219" s="135"/>
    </row>
    <row r="220" spans="8:14">
      <c r="H220" s="135"/>
      <c r="I220" s="135"/>
      <c r="J220" s="135"/>
      <c r="K220" s="135"/>
      <c r="L220" s="135"/>
      <c r="M220" s="135"/>
      <c r="N220" s="135"/>
    </row>
    <row r="221" spans="8:14">
      <c r="H221" s="135"/>
      <c r="I221" s="135"/>
      <c r="J221" s="135"/>
      <c r="K221" s="135"/>
      <c r="L221" s="135"/>
      <c r="M221" s="135"/>
      <c r="N221" s="135"/>
    </row>
    <row r="222" spans="8:14">
      <c r="H222" s="135"/>
      <c r="I222" s="135"/>
      <c r="J222" s="135"/>
      <c r="K222" s="135"/>
      <c r="L222" s="135"/>
      <c r="M222" s="135"/>
      <c r="N222" s="135"/>
    </row>
    <row r="223" spans="8:14">
      <c r="H223" s="135"/>
      <c r="I223" s="135"/>
      <c r="J223" s="135"/>
      <c r="K223" s="135"/>
      <c r="L223" s="135"/>
      <c r="M223" s="135"/>
      <c r="N223" s="135"/>
    </row>
    <row r="224" spans="8:14">
      <c r="H224" s="135"/>
      <c r="I224" s="135"/>
      <c r="J224" s="135"/>
      <c r="K224" s="135"/>
      <c r="L224" s="135"/>
      <c r="M224" s="135"/>
      <c r="N224" s="135"/>
    </row>
    <row r="225" spans="8:14">
      <c r="H225" s="135"/>
      <c r="I225" s="135"/>
      <c r="J225" s="135"/>
      <c r="K225" s="135"/>
      <c r="L225" s="135"/>
      <c r="M225" s="135"/>
      <c r="N225" s="135"/>
    </row>
    <row r="226" spans="8:14">
      <c r="H226" s="135"/>
      <c r="I226" s="135"/>
      <c r="J226" s="135"/>
      <c r="K226" s="135"/>
      <c r="L226" s="135"/>
      <c r="M226" s="135"/>
      <c r="N226" s="135"/>
    </row>
    <row r="227" spans="8:14">
      <c r="H227" s="135"/>
      <c r="I227" s="135"/>
      <c r="J227" s="135"/>
      <c r="K227" s="135"/>
      <c r="L227" s="135"/>
      <c r="M227" s="135"/>
      <c r="N227" s="135"/>
    </row>
    <row r="228" spans="8:14">
      <c r="H228" s="135"/>
      <c r="I228" s="135"/>
      <c r="J228" s="135"/>
      <c r="K228" s="135"/>
      <c r="L228" s="135"/>
      <c r="M228" s="135"/>
      <c r="N228" s="135"/>
    </row>
    <row r="229" spans="8:14">
      <c r="H229" s="135"/>
      <c r="I229" s="135"/>
      <c r="J229" s="135"/>
      <c r="K229" s="135"/>
      <c r="L229" s="135"/>
      <c r="M229" s="135"/>
      <c r="N229" s="135"/>
    </row>
    <row r="230" spans="8:14">
      <c r="H230" s="135"/>
      <c r="I230" s="135"/>
      <c r="J230" s="135"/>
      <c r="K230" s="135"/>
      <c r="L230" s="135"/>
      <c r="M230" s="135"/>
      <c r="N230" s="135"/>
    </row>
    <row r="231" spans="8:14">
      <c r="H231" s="135"/>
      <c r="I231" s="135"/>
      <c r="J231" s="135"/>
      <c r="K231" s="135"/>
      <c r="L231" s="135"/>
      <c r="M231" s="135"/>
      <c r="N231" s="135"/>
    </row>
    <row r="232" spans="8:14">
      <c r="H232" s="135"/>
      <c r="I232" s="135"/>
      <c r="J232" s="135"/>
      <c r="K232" s="135"/>
      <c r="L232" s="135"/>
      <c r="M232" s="135"/>
      <c r="N232" s="135"/>
    </row>
    <row r="233" spans="8:14">
      <c r="H233" s="135"/>
      <c r="I233" s="135"/>
      <c r="J233" s="135"/>
      <c r="K233" s="135"/>
      <c r="L233" s="135"/>
      <c r="M233" s="135"/>
      <c r="N233" s="135"/>
    </row>
    <row r="234" spans="8:14">
      <c r="H234" s="135"/>
      <c r="I234" s="135"/>
      <c r="J234" s="135"/>
      <c r="K234" s="135"/>
      <c r="L234" s="135"/>
      <c r="M234" s="135"/>
      <c r="N234" s="135"/>
    </row>
    <row r="235" spans="8:14">
      <c r="H235" s="135"/>
      <c r="I235" s="135"/>
      <c r="J235" s="135"/>
      <c r="K235" s="135"/>
      <c r="L235" s="135"/>
      <c r="M235" s="135"/>
      <c r="N235" s="135"/>
    </row>
    <row r="236" spans="8:14">
      <c r="H236" s="135"/>
      <c r="I236" s="135"/>
      <c r="J236" s="135"/>
      <c r="K236" s="135"/>
      <c r="L236" s="135"/>
      <c r="M236" s="135"/>
      <c r="N236" s="135"/>
    </row>
    <row r="237" spans="8:14">
      <c r="H237" s="135"/>
      <c r="I237" s="135"/>
      <c r="J237" s="135"/>
      <c r="K237" s="135"/>
      <c r="L237" s="135"/>
      <c r="M237" s="135"/>
      <c r="N237" s="135"/>
    </row>
    <row r="238" spans="8:14">
      <c r="H238" s="135"/>
      <c r="I238" s="135"/>
      <c r="J238" s="135"/>
      <c r="K238" s="135"/>
      <c r="L238" s="135"/>
      <c r="M238" s="135"/>
      <c r="N238" s="135"/>
    </row>
    <row r="239" spans="8:14">
      <c r="H239" s="135"/>
      <c r="I239" s="135"/>
      <c r="J239" s="135"/>
      <c r="K239" s="135"/>
      <c r="L239" s="135"/>
      <c r="M239" s="135"/>
      <c r="N239" s="135"/>
    </row>
    <row r="240" spans="8:14">
      <c r="H240" s="135"/>
      <c r="I240" s="135"/>
      <c r="J240" s="135"/>
      <c r="K240" s="135"/>
      <c r="L240" s="135"/>
      <c r="M240" s="135"/>
      <c r="N240" s="135"/>
    </row>
    <row r="241" spans="8:14">
      <c r="H241" s="135"/>
      <c r="I241" s="135"/>
      <c r="J241" s="135"/>
      <c r="K241" s="135"/>
      <c r="L241" s="135"/>
      <c r="M241" s="135"/>
      <c r="N241" s="135"/>
    </row>
    <row r="242" spans="8:14">
      <c r="H242" s="135"/>
      <c r="I242" s="135"/>
      <c r="J242" s="135"/>
      <c r="K242" s="135"/>
      <c r="L242" s="135"/>
      <c r="M242" s="135"/>
      <c r="N242" s="135"/>
    </row>
    <row r="243" spans="8:14">
      <c r="H243" s="135"/>
      <c r="I243" s="135"/>
      <c r="J243" s="135"/>
      <c r="K243" s="135"/>
      <c r="L243" s="135"/>
      <c r="M243" s="135"/>
      <c r="N243" s="135"/>
    </row>
    <row r="244" spans="8:14">
      <c r="H244" s="135"/>
      <c r="I244" s="135"/>
      <c r="J244" s="135"/>
      <c r="K244" s="135"/>
      <c r="L244" s="135"/>
      <c r="M244" s="135"/>
      <c r="N244" s="135"/>
    </row>
    <row r="245" spans="8:14">
      <c r="H245" s="135"/>
      <c r="I245" s="135"/>
      <c r="J245" s="135"/>
      <c r="K245" s="135"/>
      <c r="L245" s="135"/>
      <c r="M245" s="135"/>
      <c r="N245" s="135"/>
    </row>
    <row r="246" spans="8:14">
      <c r="H246" s="135"/>
      <c r="I246" s="135"/>
      <c r="J246" s="135"/>
      <c r="K246" s="135"/>
      <c r="L246" s="135"/>
      <c r="M246" s="135"/>
      <c r="N246" s="135"/>
    </row>
    <row r="247" spans="8:14">
      <c r="H247" s="135"/>
      <c r="I247" s="135"/>
      <c r="J247" s="135"/>
      <c r="K247" s="135"/>
      <c r="L247" s="135"/>
      <c r="M247" s="135"/>
      <c r="N247" s="135"/>
    </row>
    <row r="248" spans="8:14">
      <c r="H248" s="135"/>
      <c r="I248" s="135"/>
      <c r="J248" s="135"/>
      <c r="K248" s="135"/>
      <c r="L248" s="135"/>
      <c r="M248" s="135"/>
      <c r="N248" s="135"/>
    </row>
    <row r="249" spans="8:14">
      <c r="H249" s="135"/>
      <c r="I249" s="135"/>
      <c r="J249" s="135"/>
      <c r="K249" s="135"/>
      <c r="L249" s="135"/>
      <c r="M249" s="135"/>
      <c r="N249" s="135"/>
    </row>
    <row r="250" spans="8:14">
      <c r="H250" s="135"/>
      <c r="I250" s="135"/>
      <c r="J250" s="135"/>
      <c r="K250" s="135"/>
      <c r="L250" s="135"/>
      <c r="M250" s="135"/>
      <c r="N250" s="135"/>
    </row>
    <row r="251" spans="8:14">
      <c r="H251" s="135"/>
      <c r="I251" s="135"/>
      <c r="J251" s="135"/>
      <c r="K251" s="135"/>
      <c r="L251" s="135"/>
      <c r="M251" s="135"/>
      <c r="N251" s="135"/>
    </row>
    <row r="252" spans="8:14">
      <c r="H252" s="135"/>
      <c r="I252" s="135"/>
      <c r="J252" s="135"/>
      <c r="K252" s="135"/>
      <c r="L252" s="135"/>
      <c r="M252" s="135"/>
      <c r="N252" s="135"/>
    </row>
    <row r="253" spans="8:14">
      <c r="H253" s="135"/>
      <c r="I253" s="135"/>
      <c r="J253" s="135"/>
      <c r="K253" s="135"/>
      <c r="L253" s="135"/>
      <c r="M253" s="135"/>
      <c r="N253" s="135"/>
    </row>
    <row r="254" spans="8:14">
      <c r="H254" s="135"/>
      <c r="I254" s="135"/>
      <c r="J254" s="135"/>
      <c r="K254" s="135"/>
      <c r="L254" s="135"/>
      <c r="M254" s="135"/>
      <c r="N254" s="135"/>
    </row>
    <row r="255" spans="8:14">
      <c r="H255" s="135"/>
      <c r="I255" s="135"/>
      <c r="J255" s="135"/>
      <c r="K255" s="135"/>
      <c r="L255" s="135"/>
      <c r="M255" s="135"/>
      <c r="N255" s="135"/>
    </row>
  </sheetData>
  <sheetProtection autoFilter="0"/>
  <mergeCells count="1">
    <mergeCell ref="B4:C4"/>
  </mergeCells>
  <pageMargins left="0.25" right="0.25" top="0.75" bottom="0.75" header="0.3" footer="0.3"/>
  <pageSetup scale="42"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07EBA9C-02EF-442D-ABB2-04BC4B8A6192}">
          <x14:formula1>
            <xm:f>Calculations!$F$15:$F$27</xm:f>
          </x14:formula1>
          <xm:sqref>B4:C4</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85706E8569AC1439ED80709280DE62C" ma:contentTypeVersion="3" ma:contentTypeDescription="Create a new document." ma:contentTypeScope="" ma:versionID="e548f8bc3620e1419e9d94fbba5de066">
  <xsd:schema xmlns:xsd="http://www.w3.org/2001/XMLSchema" xmlns:xs="http://www.w3.org/2001/XMLSchema" xmlns:p="http://schemas.microsoft.com/office/2006/metadata/properties" xmlns:ns2="17d69bcf-97d4-4d8d-9bad-e841cc51f991" targetNamespace="http://schemas.microsoft.com/office/2006/metadata/properties" ma:root="true" ma:fieldsID="8b6c61b90e7d68c899b108469faa2426" ns2:_="">
    <xsd:import namespace="17d69bcf-97d4-4d8d-9bad-e841cc51f991"/>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d69bcf-97d4-4d8d-9bad-e841cc51f9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0517EE2-4F6C-499B-B5D6-A51C30A8293C}"/>
</file>

<file path=customXml/itemProps2.xml><?xml version="1.0" encoding="utf-8"?>
<ds:datastoreItem xmlns:ds="http://schemas.openxmlformats.org/officeDocument/2006/customXml" ds:itemID="{77E82EE6-ACCC-4078-9053-EEF8C3558E7C}"/>
</file>

<file path=customXml/itemProps3.xml><?xml version="1.0" encoding="utf-8"?>
<ds:datastoreItem xmlns:ds="http://schemas.openxmlformats.org/officeDocument/2006/customXml" ds:itemID="{61F5671A-7236-461A-94A8-337F48501D76}"/>
</file>

<file path=docProps/app.xml><?xml version="1.0" encoding="utf-8"?>
<Properties xmlns="http://schemas.openxmlformats.org/officeDocument/2006/extended-properties" xmlns:vt="http://schemas.openxmlformats.org/officeDocument/2006/docPropsVTypes">
  <Application>Microsoft Excel Online</Application>
  <Manager/>
  <Company>Brambles Industrial Services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Brambles Industrial Services</dc:creator>
  <cp:keywords/>
  <dc:description/>
  <cp:lastModifiedBy>Peng Dong</cp:lastModifiedBy>
  <cp:revision/>
  <dcterms:created xsi:type="dcterms:W3CDTF">2010-02-04T23:59:09Z</dcterms:created>
  <dcterms:modified xsi:type="dcterms:W3CDTF">2023-11-30T03:35:57Z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0x010100C85706E8569AC1439ED80709280DE62C</vt:lpwstr>
  </property>
</Properties>
</file>